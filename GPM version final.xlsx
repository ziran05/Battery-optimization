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30"/>
  <workbookPr defaultThemeVersion="166925"/>
  <xr:revisionPtr revIDLastSave="0" documentId="8_{6EB49998-C624-354A-9FF4-F60DC4B0139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ensitivity Report" sheetId="15" r:id="rId1"/>
    <sheet name="Answer Report" sheetId="14" r:id="rId2"/>
    <sheet name="Résolution " sheetId="11" r:id="rId3"/>
    <sheet name="Résolution +20%" sheetId="18" r:id="rId4"/>
    <sheet name="Résolution -20%" sheetId="19" r:id="rId5"/>
  </sheets>
  <definedNames>
    <definedName name="solver_adj" localSheetId="3" hidden="1">'Résolution +20%'!$C$5:$N$9</definedName>
    <definedName name="solver_adj" localSheetId="2" hidden="1">'Résolution '!$C$5:$N$9</definedName>
    <definedName name="solver_adj" localSheetId="4" hidden="1">'Résolution -20%'!$C$5:$N$9</definedName>
    <definedName name="solver_adj1" localSheetId="2" hidden="1">'Résolution '!$Q$10</definedName>
    <definedName name="solver_adj1" localSheetId="3" hidden="1">'Résolution +20%'!$Q$10</definedName>
    <definedName name="solver_adj1" localSheetId="4" hidden="1">'Résolution -20%'!$Q$10</definedName>
    <definedName name="solver_eng" localSheetId="0" hidden="1">0</definedName>
    <definedName name="solver_eng" localSheetId="2" hidden="1">0</definedName>
    <definedName name="solver_eng" localSheetId="3" hidden="1">0</definedName>
    <definedName name="solver_eng" localSheetId="4" hidden="1">0</definedName>
    <definedName name="solver_lhs1" localSheetId="2" hidden="1">'Résolution '!$C$16:$N$16</definedName>
    <definedName name="solver_lhs1" localSheetId="3" hidden="1">'Résolution +20%'!$C$11:$N$14</definedName>
    <definedName name="solver_lhs1" localSheetId="4" hidden="1">'Résolution -20%'!$C$11:$N$14</definedName>
    <definedName name="solver_lhs2" localSheetId="2" hidden="1">'Résolution '!$C$17:$N$17</definedName>
    <definedName name="solver_lhs2" localSheetId="3" hidden="1">'Résolution +20%'!$C$16:$N$16</definedName>
    <definedName name="solver_lhs2" localSheetId="4" hidden="1">'Résolution -20%'!$C$16:$N$16</definedName>
    <definedName name="solver_lhs3" localSheetId="2" hidden="1">'Résolution '!$C$11:$N$14</definedName>
    <definedName name="solver_lhs3" localSheetId="3" hidden="1">'Résolution +20%'!$C$17:$N$17</definedName>
    <definedName name="solver_lhs3" localSheetId="4" hidden="1">'Résolution -20%'!$C$17:$N$17</definedName>
    <definedName name="solver_lhs4" localSheetId="2" hidden="1">'Résolution '!$C$7:$N$7</definedName>
    <definedName name="solver_lhs4" localSheetId="3" hidden="1">'Résolution +20%'!$C$7:$N$7</definedName>
    <definedName name="solver_lhs4" localSheetId="4" hidden="1">'Résolution -20%'!$C$7:$N$7</definedName>
    <definedName name="solver_lhs5" localSheetId="2" hidden="1">'Résolution '!$M$4:$M$14</definedName>
    <definedName name="solver_lhs6" localSheetId="2" hidden="1">'Résolution '!$L$4:$L$14</definedName>
    <definedName name="solver_lhs7" localSheetId="2" hidden="1">'Résolution '!$V$15</definedName>
    <definedName name="solver_neg" localSheetId="2" hidden="1">1</definedName>
    <definedName name="solver_neg" localSheetId="3" hidden="1">1</definedName>
    <definedName name="solver_neg" localSheetId="4" hidden="1">1</definedName>
    <definedName name="solver_num" localSheetId="2" hidden="1">4</definedName>
    <definedName name="solver_num" localSheetId="3" hidden="1">4</definedName>
    <definedName name="solver_num" localSheetId="4" hidden="1">4</definedName>
    <definedName name="solver_opt" localSheetId="2" hidden="1">'Résolution '!$Q$12</definedName>
    <definedName name="solver_opt" localSheetId="4" hidden="1">'Résolution -20%'!$Q$12</definedName>
    <definedName name="solver_rel1" localSheetId="2" hidden="1">1</definedName>
    <definedName name="solver_rel1" localSheetId="3" hidden="1">3</definedName>
    <definedName name="solver_rel1" localSheetId="4" hidden="1">3</definedName>
    <definedName name="solver_rel2" localSheetId="2" hidden="1">1</definedName>
    <definedName name="solver_rel2" localSheetId="3" hidden="1">1</definedName>
    <definedName name="solver_rel2" localSheetId="4" hidden="1">1</definedName>
    <definedName name="solver_rel3" localSheetId="2" hidden="1">3</definedName>
    <definedName name="solver_rel3" localSheetId="3" hidden="1">1</definedName>
    <definedName name="solver_rel3" localSheetId="4" hidden="1">1</definedName>
    <definedName name="solver_rel4" localSheetId="2" hidden="1">1</definedName>
    <definedName name="solver_rel4" localSheetId="3" hidden="1">1</definedName>
    <definedName name="solver_rel4" localSheetId="4" hidden="1">1</definedName>
    <definedName name="solver_rel5" localSheetId="2" hidden="1">3</definedName>
    <definedName name="solver_rel6" localSheetId="2" hidden="1">3</definedName>
    <definedName name="solver_rel7" localSheetId="2" hidden="1">3</definedName>
    <definedName name="solver_rhs1" localSheetId="2" hidden="1">8500</definedName>
    <definedName name="solver_rhs1" localSheetId="3" hidden="1">0</definedName>
    <definedName name="solver_rhs1" localSheetId="4" hidden="1">0</definedName>
    <definedName name="solver_rhs2" localSheetId="2" hidden="1">4400</definedName>
    <definedName name="solver_rhs2" localSheetId="3" hidden="1">8500</definedName>
    <definedName name="solver_rhs2" localSheetId="4" hidden="1">8500</definedName>
    <definedName name="solver_rhs3" localSheetId="2" hidden="1">0</definedName>
    <definedName name="solver_rhs3" localSheetId="3" hidden="1">4400</definedName>
    <definedName name="solver_rhs3" localSheetId="4" hidden="1">4400</definedName>
    <definedName name="solver_rhs4" localSheetId="2" hidden="1">'Résolution '!$Q$10</definedName>
    <definedName name="solver_rhs4" localSheetId="3" hidden="1">'Résolution +20%'!$Q$10</definedName>
    <definedName name="solver_rhs4" localSheetId="4" hidden="1">'Résolution -20%'!$Q$10</definedName>
    <definedName name="solver_rhs5" localSheetId="2" hidden="1">0</definedName>
    <definedName name="solver_rhs6" localSheetId="2" hidden="1">0</definedName>
    <definedName name="solver_rhs7" localSheetId="2" hidden="1">0</definedName>
    <definedName name="solver_rxc1" localSheetId="2" hidden="1">1</definedName>
    <definedName name="solver_rxc1" localSheetId="3" hidden="1">1</definedName>
    <definedName name="solver_rxc1" localSheetId="4" hidden="1">1</definedName>
    <definedName name="solver_rxc2" localSheetId="2" hidden="1">1</definedName>
    <definedName name="solver_rxc2" localSheetId="3" hidden="1">1</definedName>
    <definedName name="solver_rxc2" localSheetId="4" hidden="1">1</definedName>
    <definedName name="solver_rxc3" localSheetId="2" hidden="1">1</definedName>
    <definedName name="solver_rxc3" localSheetId="3" hidden="1">1</definedName>
    <definedName name="solver_rxc3" localSheetId="4" hidden="1">1</definedName>
    <definedName name="solver_rxc4" localSheetId="2" hidden="1">1</definedName>
    <definedName name="solver_rxc4" localSheetId="3" hidden="1">1</definedName>
    <definedName name="solver_rxc4" localSheetId="4" hidden="1">1</definedName>
    <definedName name="solver_rxc5" localSheetId="2" hidden="1">1</definedName>
    <definedName name="solver_rxc6" localSheetId="2" hidden="1">1</definedName>
    <definedName name="solver_rxc7" localSheetId="2" hidden="1">1</definedName>
    <definedName name="solver_rxv" localSheetId="3" hidden="1">1</definedName>
    <definedName name="solver_rxv" localSheetId="2" hidden="1">1</definedName>
    <definedName name="solver_rxv" localSheetId="4" hidden="1">1</definedName>
    <definedName name="solver_rxv1" localSheetId="2" hidden="1">1</definedName>
    <definedName name="solver_rxv1" localSheetId="3" hidden="1">1</definedName>
    <definedName name="solver_rxv1" localSheetId="4" hidden="1">1</definedName>
    <definedName name="solver_typ" localSheetId="2" hidden="1">2</definedName>
    <definedName name="solver_typ" localSheetId="3" hidden="1">2</definedName>
    <definedName name="solver_typ" localSheetId="4" hidden="1">2</definedName>
    <definedName name="solver_val" localSheetId="2" hidden="1">0</definedName>
    <definedName name="solver_val" localSheetId="3" hidden="1">0</definedName>
    <definedName name="solver_val" localSheetId="4" hidden="1">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19" l="1"/>
  <c r="C12" i="19"/>
  <c r="C13" i="19"/>
  <c r="C14" i="19"/>
  <c r="D11" i="19"/>
  <c r="E11" i="19"/>
  <c r="F11" i="19"/>
  <c r="G11" i="19"/>
  <c r="H11" i="19"/>
  <c r="I11" i="19"/>
  <c r="J11" i="19"/>
  <c r="K11" i="19"/>
  <c r="L11" i="19"/>
  <c r="M11" i="19"/>
  <c r="N11" i="19"/>
  <c r="D12" i="19"/>
  <c r="E12" i="19"/>
  <c r="F12" i="19"/>
  <c r="G12" i="19"/>
  <c r="H12" i="19"/>
  <c r="I12" i="19"/>
  <c r="J12" i="19"/>
  <c r="K12" i="19"/>
  <c r="L12" i="19"/>
  <c r="M12" i="19"/>
  <c r="N12" i="19"/>
  <c r="D13" i="19"/>
  <c r="E13" i="19"/>
  <c r="F13" i="19"/>
  <c r="G13" i="19"/>
  <c r="H13" i="19"/>
  <c r="I13" i="19"/>
  <c r="J13" i="19"/>
  <c r="K13" i="19"/>
  <c r="L13" i="19"/>
  <c r="M13" i="19"/>
  <c r="N13" i="19"/>
  <c r="D14" i="19"/>
  <c r="E14" i="19"/>
  <c r="F14" i="19"/>
  <c r="G14" i="19"/>
  <c r="H14" i="19"/>
  <c r="I14" i="19"/>
  <c r="J14" i="19"/>
  <c r="K14" i="19"/>
  <c r="L14" i="19"/>
  <c r="M14" i="19"/>
  <c r="N14" i="19"/>
  <c r="Q12" i="19" a="1"/>
  <c r="Q12" i="19"/>
  <c r="C16" i="19"/>
  <c r="D16" i="19"/>
  <c r="E16" i="19"/>
  <c r="F16" i="19"/>
  <c r="G16" i="19"/>
  <c r="H16" i="19"/>
  <c r="I16" i="19"/>
  <c r="J16" i="19"/>
  <c r="K16" i="19"/>
  <c r="L16" i="19"/>
  <c r="M16" i="19"/>
  <c r="N16" i="19"/>
  <c r="C17" i="19"/>
  <c r="D17" i="19"/>
  <c r="E17" i="19"/>
  <c r="F17" i="19"/>
  <c r="G17" i="19"/>
  <c r="H17" i="19"/>
  <c r="I17" i="19"/>
  <c r="J17" i="19"/>
  <c r="K17" i="19"/>
  <c r="L17" i="19"/>
  <c r="M17" i="19"/>
  <c r="N17" i="19"/>
  <c r="C11" i="18"/>
  <c r="C12" i="18"/>
  <c r="C13" i="18"/>
  <c r="C14" i="18"/>
  <c r="D11" i="18"/>
  <c r="E11" i="18"/>
  <c r="F11" i="18"/>
  <c r="G11" i="18"/>
  <c r="H11" i="18"/>
  <c r="I11" i="18"/>
  <c r="J11" i="18"/>
  <c r="K11" i="18"/>
  <c r="L11" i="18"/>
  <c r="M11" i="18"/>
  <c r="N11" i="18"/>
  <c r="D12" i="18"/>
  <c r="E12" i="18"/>
  <c r="F12" i="18"/>
  <c r="G12" i="18"/>
  <c r="H12" i="18"/>
  <c r="I12" i="18"/>
  <c r="J12" i="18"/>
  <c r="K12" i="18"/>
  <c r="L12" i="18"/>
  <c r="M12" i="18"/>
  <c r="N12" i="18"/>
  <c r="D13" i="18"/>
  <c r="E13" i="18"/>
  <c r="F13" i="18"/>
  <c r="G13" i="18"/>
  <c r="H13" i="18"/>
  <c r="I13" i="18"/>
  <c r="J13" i="18"/>
  <c r="K13" i="18"/>
  <c r="L13" i="18"/>
  <c r="M13" i="18"/>
  <c r="N13" i="18"/>
  <c r="D14" i="18"/>
  <c r="E14" i="18"/>
  <c r="F14" i="18"/>
  <c r="G14" i="18"/>
  <c r="H14" i="18"/>
  <c r="I14" i="18"/>
  <c r="J14" i="18"/>
  <c r="K14" i="18"/>
  <c r="L14" i="18"/>
  <c r="M14" i="18"/>
  <c r="N14" i="18"/>
  <c r="Q12" i="18" a="1"/>
  <c r="Q12" i="18"/>
  <c r="C16" i="18"/>
  <c r="D16" i="18"/>
  <c r="E16" i="18"/>
  <c r="F16" i="18"/>
  <c r="G16" i="18"/>
  <c r="H16" i="18"/>
  <c r="I16" i="18"/>
  <c r="J16" i="18"/>
  <c r="K16" i="18"/>
  <c r="L16" i="18"/>
  <c r="M16" i="18"/>
  <c r="N16" i="18"/>
  <c r="C17" i="18"/>
  <c r="D17" i="18"/>
  <c r="E17" i="18"/>
  <c r="F17" i="18"/>
  <c r="G17" i="18"/>
  <c r="H17" i="18"/>
  <c r="I17" i="18"/>
  <c r="J17" i="18"/>
  <c r="K17" i="18"/>
  <c r="L17" i="18"/>
  <c r="M17" i="18"/>
  <c r="N17" i="18"/>
  <c r="C11" i="11"/>
  <c r="C12" i="11"/>
  <c r="C13" i="11"/>
  <c r="C14" i="11"/>
  <c r="D11" i="11"/>
  <c r="E11" i="11"/>
  <c r="F11" i="11"/>
  <c r="G11" i="11"/>
  <c r="H11" i="11"/>
  <c r="I11" i="11"/>
  <c r="J11" i="11"/>
  <c r="K11" i="11"/>
  <c r="L11" i="11"/>
  <c r="M11" i="11"/>
  <c r="N11" i="11"/>
  <c r="D12" i="11"/>
  <c r="E12" i="11"/>
  <c r="F12" i="11"/>
  <c r="G12" i="11"/>
  <c r="H12" i="11"/>
  <c r="I12" i="11"/>
  <c r="J12" i="11"/>
  <c r="K12" i="11"/>
  <c r="L12" i="11"/>
  <c r="M12" i="11"/>
  <c r="N12" i="11"/>
  <c r="D13" i="11"/>
  <c r="E13" i="11"/>
  <c r="F13" i="11"/>
  <c r="G13" i="11"/>
  <c r="H13" i="11"/>
  <c r="I13" i="11"/>
  <c r="J13" i="11"/>
  <c r="K13" i="11"/>
  <c r="L13" i="11"/>
  <c r="M13" i="11"/>
  <c r="N13" i="11"/>
  <c r="D14" i="11"/>
  <c r="E14" i="11"/>
  <c r="F14" i="11"/>
  <c r="G14" i="11"/>
  <c r="H14" i="11"/>
  <c r="I14" i="11"/>
  <c r="J14" i="11"/>
  <c r="K14" i="11"/>
  <c r="L14" i="11"/>
  <c r="M14" i="11"/>
  <c r="N14" i="11"/>
  <c r="Q12" i="11" a="1"/>
  <c r="Q12" i="11"/>
  <c r="N17" i="11"/>
  <c r="M17" i="11"/>
  <c r="L17" i="11"/>
  <c r="K17" i="11"/>
  <c r="J17" i="11"/>
  <c r="I17" i="11"/>
  <c r="H17" i="11"/>
  <c r="G17" i="11"/>
  <c r="F17" i="11"/>
  <c r="E17" i="11"/>
  <c r="D17" i="11"/>
  <c r="N16" i="11"/>
  <c r="M16" i="11"/>
  <c r="L16" i="11"/>
  <c r="K16" i="11"/>
  <c r="J16" i="11"/>
  <c r="I16" i="11"/>
  <c r="H16" i="11"/>
  <c r="G16" i="11"/>
  <c r="F16" i="11"/>
  <c r="E16" i="11"/>
  <c r="D16" i="11"/>
  <c r="C17" i="11"/>
  <c r="C16" i="1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<sst xmlns="http://schemas.openxmlformats.org/spreadsheetml/2006/main" count="430" uniqueCount="197">
  <si>
    <t>Engine: LP/Quadratic</t>
  </si>
  <si>
    <t>Objective Cell (Min)</t>
  </si>
  <si>
    <t>Cell</t>
  </si>
  <si>
    <t>Original Value</t>
  </si>
  <si>
    <t>Final Value</t>
  </si>
  <si>
    <t>Decision Variable Cells</t>
  </si>
  <si>
    <t>Final</t>
  </si>
  <si>
    <t>Reduced</t>
  </si>
  <si>
    <t>Maximum</t>
  </si>
  <si>
    <t>Minimum</t>
  </si>
  <si>
    <t>Value</t>
  </si>
  <si>
    <t>Cost</t>
  </si>
  <si>
    <t>Objective Coefficient</t>
  </si>
  <si>
    <t>$D$5</t>
  </si>
  <si>
    <t>$E$5</t>
  </si>
  <si>
    <t>$F$5</t>
  </si>
  <si>
    <t>$G$5</t>
  </si>
  <si>
    <t>$H$5</t>
  </si>
  <si>
    <t>$D$6</t>
  </si>
  <si>
    <t>$E$6</t>
  </si>
  <si>
    <t>$F$6</t>
  </si>
  <si>
    <t>$G$6</t>
  </si>
  <si>
    <t>$H$6</t>
  </si>
  <si>
    <t>$D$7</t>
  </si>
  <si>
    <t>$E$7</t>
  </si>
  <si>
    <t>$F$7</t>
  </si>
  <si>
    <t>$G$7</t>
  </si>
  <si>
    <t>$H$7</t>
  </si>
  <si>
    <t>$D$8</t>
  </si>
  <si>
    <t>$E$8</t>
  </si>
  <si>
    <t>$F$8</t>
  </si>
  <si>
    <t>$G$8</t>
  </si>
  <si>
    <t>$H$8</t>
  </si>
  <si>
    <t>$D$9</t>
  </si>
  <si>
    <t>$E$9</t>
  </si>
  <si>
    <t>$F$9</t>
  </si>
  <si>
    <t>$G$9</t>
  </si>
  <si>
    <t>$H$9</t>
  </si>
  <si>
    <t>$D$11</t>
  </si>
  <si>
    <t>$E$11</t>
  </si>
  <si>
    <t>$F$11</t>
  </si>
  <si>
    <t>$G$11</t>
  </si>
  <si>
    <t>$H$11</t>
  </si>
  <si>
    <t>$D$12</t>
  </si>
  <si>
    <t>$E$12</t>
  </si>
  <si>
    <t>$F$12</t>
  </si>
  <si>
    <t>$G$12</t>
  </si>
  <si>
    <t>$H$12</t>
  </si>
  <si>
    <t>$D$13</t>
  </si>
  <si>
    <t>$E$13</t>
  </si>
  <si>
    <t>$F$13</t>
  </si>
  <si>
    <t>$G$13</t>
  </si>
  <si>
    <t>$H$13</t>
  </si>
  <si>
    <t>$D$14</t>
  </si>
  <si>
    <t>$E$14</t>
  </si>
  <si>
    <t>$F$14</t>
  </si>
  <si>
    <t>$G$14</t>
  </si>
  <si>
    <t>$H$14</t>
  </si>
  <si>
    <t>Constraints</t>
  </si>
  <si>
    <t>Shadow</t>
  </si>
  <si>
    <t>Constraint</t>
  </si>
  <si>
    <t>Allowable</t>
  </si>
  <si>
    <t>Price</t>
  </si>
  <si>
    <t>R.H.Side</t>
  </si>
  <si>
    <t>Increase</t>
  </si>
  <si>
    <t>Decrease</t>
  </si>
  <si>
    <t>$J$5</t>
  </si>
  <si>
    <t>$J$6</t>
  </si>
  <si>
    <t>$J$7</t>
  </si>
  <si>
    <t>$J$8</t>
  </si>
  <si>
    <t>$J$9</t>
  </si>
  <si>
    <t>$J$11</t>
  </si>
  <si>
    <t>$J$12</t>
  </si>
  <si>
    <t>$J$13</t>
  </si>
  <si>
    <t>$J$14</t>
  </si>
  <si>
    <t>$K$5</t>
  </si>
  <si>
    <t>$K$6</t>
  </si>
  <si>
    <t>$K$7</t>
  </si>
  <si>
    <t>$K$8</t>
  </si>
  <si>
    <t>$K$9</t>
  </si>
  <si>
    <t>$K$11</t>
  </si>
  <si>
    <t>$K$12</t>
  </si>
  <si>
    <t>$K$13</t>
  </si>
  <si>
    <t>$K$14</t>
  </si>
  <si>
    <t>Microsoft Excel Answer Report</t>
  </si>
  <si>
    <t>Worksheet: Résolution</t>
  </si>
  <si>
    <t>Result: Solver found a solution.  All constraints and optimality conditions are satisfied.</t>
  </si>
  <si>
    <t>Solution Time: 3 milliseconds</t>
  </si>
  <si>
    <t>Iterations: 0</t>
  </si>
  <si>
    <t>Subproblems: 0</t>
  </si>
  <si>
    <t>Incumbent Solutions: 0</t>
  </si>
  <si>
    <t>Lower Bound</t>
  </si>
  <si>
    <t>Upper Bound</t>
  </si>
  <si>
    <t>Slack</t>
  </si>
  <si>
    <t>Stocks</t>
  </si>
  <si>
    <t>Contraintes</t>
  </si>
  <si>
    <t xml:space="preserve">Paramètres </t>
  </si>
  <si>
    <t>DT</t>
  </si>
  <si>
    <t>DS</t>
  </si>
  <si>
    <t>XA</t>
  </si>
  <si>
    <t>XC</t>
  </si>
  <si>
    <t>A</t>
  </si>
  <si>
    <t>XT</t>
  </si>
  <si>
    <t>XS</t>
  </si>
  <si>
    <t>XA+XC</t>
  </si>
  <si>
    <t>XT+XS</t>
  </si>
  <si>
    <t>CSA</t>
  </si>
  <si>
    <t>CSC</t>
  </si>
  <si>
    <t>CST</t>
  </si>
  <si>
    <t>CSS</t>
  </si>
  <si>
    <t>Cinv</t>
  </si>
  <si>
    <t>Pachat</t>
  </si>
  <si>
    <t>Pprod</t>
  </si>
  <si>
    <t>K</t>
  </si>
  <si>
    <t>Coût tot</t>
  </si>
  <si>
    <t>Microsoft Excel Sensitivity Report</t>
  </si>
  <si>
    <t>$C$5</t>
  </si>
  <si>
    <t>$I$5</t>
  </si>
  <si>
    <t>$L$5</t>
  </si>
  <si>
    <t>$M$5</t>
  </si>
  <si>
    <t>$N$5</t>
  </si>
  <si>
    <t>$C$6</t>
  </si>
  <si>
    <t>$I$6</t>
  </si>
  <si>
    <t>$L$6</t>
  </si>
  <si>
    <t>$M$6</t>
  </si>
  <si>
    <t>$N$6</t>
  </si>
  <si>
    <t>$C$7</t>
  </si>
  <si>
    <t>$I$7</t>
  </si>
  <si>
    <t>$L$7</t>
  </si>
  <si>
    <t>$M$7</t>
  </si>
  <si>
    <t>$N$7</t>
  </si>
  <si>
    <t>$C$8</t>
  </si>
  <si>
    <t>$I$8</t>
  </si>
  <si>
    <t>$L$8</t>
  </si>
  <si>
    <t>$M$8</t>
  </si>
  <si>
    <t>$N$8</t>
  </si>
  <si>
    <t>$C$9</t>
  </si>
  <si>
    <t>$I$9</t>
  </si>
  <si>
    <t>$L$9</t>
  </si>
  <si>
    <t>$M$9</t>
  </si>
  <si>
    <t>$N$9</t>
  </si>
  <si>
    <t>$E$19</t>
  </si>
  <si>
    <t>$C$16</t>
  </si>
  <si>
    <t>$D$16</t>
  </si>
  <si>
    <t>$E$16</t>
  </si>
  <si>
    <t>$F$16</t>
  </si>
  <si>
    <t>$G$16</t>
  </si>
  <si>
    <t>$H$16</t>
  </si>
  <si>
    <t>$I$16</t>
  </si>
  <si>
    <t>$J$16</t>
  </si>
  <si>
    <t>$K$16</t>
  </si>
  <si>
    <t>$L$16</t>
  </si>
  <si>
    <t>$M$16</t>
  </si>
  <si>
    <t>$N$16</t>
  </si>
  <si>
    <t>$C$17</t>
  </si>
  <si>
    <t>$D$17</t>
  </si>
  <si>
    <t>$E$17</t>
  </si>
  <si>
    <t>$F$17</t>
  </si>
  <si>
    <t>$G$17</t>
  </si>
  <si>
    <t>$H$17</t>
  </si>
  <si>
    <t>$I$17</t>
  </si>
  <si>
    <t>$J$17</t>
  </si>
  <si>
    <t>$K$17</t>
  </si>
  <si>
    <t>$L$17</t>
  </si>
  <si>
    <t>$M$17</t>
  </si>
  <si>
    <t>$N$17</t>
  </si>
  <si>
    <t>$C$11</t>
  </si>
  <si>
    <t>$I$11</t>
  </si>
  <si>
    <t>$L$11</t>
  </si>
  <si>
    <t>$M$11</t>
  </si>
  <si>
    <t>$N$11</t>
  </si>
  <si>
    <t>$C$12</t>
  </si>
  <si>
    <t>$I$12</t>
  </si>
  <si>
    <t>$L$12</t>
  </si>
  <si>
    <t>$M$12</t>
  </si>
  <si>
    <t>$N$12</t>
  </si>
  <si>
    <t>$C$13</t>
  </si>
  <si>
    <t>$I$13</t>
  </si>
  <si>
    <t>$L$13</t>
  </si>
  <si>
    <t>$M$13</t>
  </si>
  <si>
    <t>$N$13</t>
  </si>
  <si>
    <t>$C$14</t>
  </si>
  <si>
    <t>$I$14</t>
  </si>
  <si>
    <t>$L$14</t>
  </si>
  <si>
    <t>$M$14</t>
  </si>
  <si>
    <t>$N$14</t>
  </si>
  <si>
    <t>Worksheet: Answer Report 2</t>
  </si>
  <si>
    <t>Variables</t>
  </si>
  <si>
    <t>Demandes</t>
  </si>
  <si>
    <t>StT</t>
  </si>
  <si>
    <t>StC</t>
  </si>
  <si>
    <t>StS</t>
  </si>
  <si>
    <t>StA</t>
  </si>
  <si>
    <t>Stock init.</t>
  </si>
  <si>
    <t>Report Created:Mon April 23 2026 10:14:23 GMT+0200 (heure d’été d’Europe centrale)</t>
  </si>
  <si>
    <t>Report Created:Mon April 23 2026 10:14:22 GMT+0200 (heure d’été d’Europe centrale)</t>
  </si>
  <si>
    <t>Résolution'!Q12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</si>
</sst>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8"/>
      <color theme="1"/>
      <name val="Helv"/>
    </font>
    <font>
      <sz val="8"/>
      <color theme="1"/>
      <name val="Helv"/>
    </font>
    <font>
      <b/>
      <sz val="8"/>
      <color rgb="FF0000FF"/>
      <name val="Helv"/>
    </font>
    <font>
      <u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</fills>
  <borders count="37">
    <border>
      <left/>
      <right/>
      <top/>
      <bottom/>
      <diagonal/>
    </border>
    <border>
      <left style="medium">
        <color rgb="FF505050"/>
      </left>
      <right style="medium">
        <color rgb="FF505050"/>
      </right>
      <top/>
      <bottom style="medium">
        <color rgb="FF505050"/>
      </bottom>
      <diagonal/>
    </border>
    <border>
      <left style="medium">
        <color rgb="FF505050"/>
      </left>
      <right/>
      <top style="medium">
        <color rgb="FF505050"/>
      </top>
      <bottom style="medium">
        <color rgb="FF505050"/>
      </bottom>
      <diagonal/>
    </border>
    <border>
      <left/>
      <right style="medium">
        <color rgb="FF505050"/>
      </right>
      <top style="medium">
        <color rgb="FF505050"/>
      </top>
      <bottom style="medium">
        <color rgb="FF505050"/>
      </bottom>
      <diagonal/>
    </border>
    <border>
      <left style="medium">
        <color rgb="FF505050"/>
      </left>
      <right/>
      <top style="medium">
        <color rgb="FF505050"/>
      </top>
      <bottom/>
      <diagonal/>
    </border>
    <border>
      <left style="medium">
        <color rgb="FF505050"/>
      </left>
      <right style="medium">
        <color rgb="FF505050"/>
      </right>
      <top style="medium">
        <color rgb="FF505050"/>
      </top>
      <bottom style="medium">
        <color rgb="FF505050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medium">
        <color rgb="FF505050"/>
      </right>
      <top/>
      <bottom style="thin">
        <color rgb="FF505050"/>
      </bottom>
      <diagonal/>
    </border>
    <border>
      <left/>
      <right style="thin">
        <color rgb="FF505050"/>
      </right>
      <top/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medium">
        <color rgb="FF505050"/>
      </left>
      <right style="medium">
        <color rgb="FF505050"/>
      </right>
      <top style="medium">
        <color rgb="FF505050"/>
      </top>
      <bottom style="thin">
        <color rgb="FF505050"/>
      </bottom>
      <diagonal/>
    </border>
    <border>
      <left style="medium">
        <color rgb="FF505050"/>
      </left>
      <right style="medium">
        <color rgb="FF505050"/>
      </right>
      <top style="thin">
        <color rgb="FF505050"/>
      </top>
      <bottom style="thin">
        <color rgb="FF505050"/>
      </bottom>
      <diagonal/>
    </border>
    <border>
      <left style="medium">
        <color rgb="FF505050"/>
      </left>
      <right style="medium">
        <color rgb="FF505050"/>
      </right>
      <top style="thin">
        <color rgb="FF505050"/>
      </top>
      <bottom style="medium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 style="medium">
        <color rgb="FF505050"/>
      </right>
      <top style="medium">
        <color rgb="FF505050"/>
      </top>
      <bottom style="medium">
        <color rgb="FF505050"/>
      </bottom>
      <diagonal/>
    </border>
    <border>
      <left style="thin">
        <color rgb="FF505050"/>
      </left>
      <right style="medium">
        <color rgb="FF505050"/>
      </right>
      <top/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medium">
        <color rgb="FF505050"/>
      </top>
      <bottom style="medium">
        <color rgb="FF505050"/>
      </bottom>
      <diagonal/>
    </border>
    <border>
      <left/>
      <right style="medium">
        <color rgb="FF505050"/>
      </right>
      <top style="thin">
        <color rgb="FF505050"/>
      </top>
      <bottom style="thin">
        <color rgb="FF505050"/>
      </bottom>
      <diagonal/>
    </border>
    <border>
      <left/>
      <right style="medium">
        <color rgb="FF505050"/>
      </right>
      <top style="thin">
        <color rgb="FF505050"/>
      </top>
      <bottom style="medium">
        <color rgb="FF505050"/>
      </bottom>
      <diagonal/>
    </border>
    <border>
      <left style="medium">
        <color rgb="FF505050"/>
      </left>
      <right style="medium">
        <color rgb="FF505050"/>
      </right>
      <top/>
      <bottom style="thin">
        <color rgb="FF505050"/>
      </bottom>
      <diagonal/>
    </border>
    <border>
      <left/>
      <right style="thin">
        <color rgb="FF505050"/>
      </right>
      <top/>
      <bottom style="medium">
        <color rgb="FF505050"/>
      </bottom>
      <diagonal/>
    </border>
    <border>
      <left style="thin">
        <color rgb="FF505050"/>
      </left>
      <right style="thin">
        <color rgb="FF505050"/>
      </right>
      <top/>
      <bottom style="medium">
        <color rgb="FF505050"/>
      </bottom>
      <diagonal/>
    </border>
    <border>
      <left style="thin">
        <color rgb="FF505050"/>
      </left>
      <right style="medium">
        <color rgb="FF505050"/>
      </right>
      <top/>
      <bottom style="medium">
        <color rgb="FF505050"/>
      </bottom>
      <diagonal/>
    </border>
    <border>
      <left/>
      <right style="thin">
        <color rgb="FF505050"/>
      </right>
      <top style="medium">
        <color rgb="FF505050"/>
      </top>
      <bottom style="medium">
        <color rgb="FF505050"/>
      </bottom>
      <diagonal/>
    </border>
    <border>
      <left style="medium">
        <color rgb="FF505050"/>
      </left>
      <right/>
      <top/>
      <bottom style="medium">
        <color rgb="FF505050"/>
      </bottom>
      <diagonal/>
    </border>
    <border>
      <left/>
      <right style="medium">
        <color rgb="FF505050"/>
      </right>
      <top/>
      <bottom style="medium">
        <color rgb="FF505050"/>
      </bottom>
      <diagonal/>
    </border>
    <border>
      <left style="medium">
        <color rgb="FF505050"/>
      </left>
      <right style="medium">
        <color rgb="FF505050"/>
      </right>
      <top style="thin">
        <color rgb="FF505050"/>
      </top>
      <bottom style="double">
        <color rgb="FFFFC000"/>
      </bottom>
      <diagonal/>
    </border>
    <border>
      <left/>
      <right/>
      <top/>
      <bottom style="double">
        <color rgb="FFFFC000"/>
      </bottom>
      <diagonal/>
    </border>
    <border>
      <left/>
      <right style="thin">
        <color rgb="FF505050"/>
      </right>
      <top style="thin">
        <color rgb="FF505050"/>
      </top>
      <bottom style="double">
        <color rgb="FFFFC00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double">
        <color rgb="FFFFC000"/>
      </bottom>
      <diagonal/>
    </border>
    <border>
      <left/>
      <right style="medium">
        <color rgb="FF505050"/>
      </right>
      <top style="thin">
        <color rgb="FF505050"/>
      </top>
      <bottom style="double">
        <color rgb="FFFFC000"/>
      </bottom>
      <diagonal/>
    </border>
    <border>
      <left/>
      <right style="thin">
        <color rgb="FF505050"/>
      </right>
      <top/>
      <bottom style="double">
        <color rgb="FFFFC000"/>
      </bottom>
      <diagonal/>
    </border>
    <border>
      <left style="thin">
        <color rgb="FF505050"/>
      </left>
      <right style="thin">
        <color rgb="FF505050"/>
      </right>
      <top/>
      <bottom style="double">
        <color rgb="FFFFC000"/>
      </bottom>
      <diagonal/>
    </border>
    <border>
      <left/>
      <right style="medium">
        <color rgb="FF505050"/>
      </right>
      <top/>
      <bottom style="double">
        <color rgb="FFFFC000"/>
      </bottom>
      <diagonal/>
    </border>
    <border>
      <left style="thin">
        <color rgb="FF505050"/>
      </left>
      <right style="medium">
        <color rgb="FF505050"/>
      </right>
      <top/>
      <bottom style="double">
        <color rgb="FFFFC00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 applyBorder="1"/>
    <xf numFmtId="0" fontId="3" fillId="0" borderId="0" xfId="0" applyFont="1" applyBorder="1"/>
    <xf numFmtId="0" fontId="2" fillId="0" borderId="6" xfId="0" applyFont="1" applyBorder="1"/>
    <xf numFmtId="0" fontId="2" fillId="0" borderId="6" xfId="0" quotePrefix="1" applyFont="1" applyBorder="1"/>
    <xf numFmtId="0" fontId="2" fillId="0" borderId="7" xfId="0" applyFont="1" applyBorder="1"/>
    <xf numFmtId="0" fontId="0" fillId="4" borderId="0" xfId="0" applyFill="1"/>
    <xf numFmtId="0" fontId="0" fillId="4" borderId="0" xfId="0" applyFill="1" applyAlignment="1">
      <alignment wrapText="1"/>
    </xf>
    <xf numFmtId="0" fontId="0" fillId="3" borderId="8" xfId="0" applyFill="1" applyBorder="1" applyAlignment="1">
      <alignment wrapText="1"/>
    </xf>
    <xf numFmtId="0" fontId="0" fillId="3" borderId="10" xfId="0" applyFill="1" applyBorder="1" applyAlignment="1">
      <alignment wrapText="1"/>
    </xf>
    <xf numFmtId="0" fontId="0" fillId="3" borderId="11" xfId="0" applyFill="1" applyBorder="1" applyAlignment="1">
      <alignment wrapText="1"/>
    </xf>
    <xf numFmtId="0" fontId="0" fillId="3" borderId="15" xfId="0" applyFill="1" applyBorder="1" applyAlignment="1">
      <alignment wrapText="1"/>
    </xf>
    <xf numFmtId="0" fontId="0" fillId="3" borderId="17" xfId="0" applyFill="1" applyBorder="1" applyAlignment="1">
      <alignment wrapText="1"/>
    </xf>
    <xf numFmtId="0" fontId="0" fillId="2" borderId="12" xfId="0" applyFill="1" applyBorder="1" applyAlignment="1">
      <alignment wrapText="1"/>
    </xf>
    <xf numFmtId="0" fontId="0" fillId="2" borderId="13" xfId="0" applyFill="1" applyBorder="1"/>
    <xf numFmtId="0" fontId="0" fillId="2" borderId="14" xfId="0" applyFill="1" applyBorder="1"/>
    <xf numFmtId="0" fontId="0" fillId="3" borderId="19" xfId="0" applyFill="1" applyBorder="1"/>
    <xf numFmtId="0" fontId="0" fillId="3" borderId="20" xfId="0" applyFill="1" applyBorder="1"/>
    <xf numFmtId="0" fontId="0" fillId="2" borderId="21" xfId="0" applyFill="1" applyBorder="1"/>
    <xf numFmtId="0" fontId="0" fillId="3" borderId="9" xfId="0" applyFill="1" applyBorder="1"/>
    <xf numFmtId="0" fontId="0" fillId="2" borderId="5" xfId="0" applyFill="1" applyBorder="1"/>
    <xf numFmtId="0" fontId="0" fillId="3" borderId="22" xfId="0" applyFill="1" applyBorder="1" applyAlignment="1">
      <alignment wrapText="1"/>
    </xf>
    <xf numFmtId="17" fontId="0" fillId="2" borderId="18" xfId="0" applyNumberFormat="1" applyFill="1" applyBorder="1" applyAlignment="1">
      <alignment wrapText="1"/>
    </xf>
    <xf numFmtId="17" fontId="0" fillId="2" borderId="16" xfId="0" applyNumberFormat="1" applyFill="1" applyBorder="1" applyAlignment="1">
      <alignment wrapText="1"/>
    </xf>
    <xf numFmtId="0" fontId="0" fillId="5" borderId="0" xfId="0" applyFill="1" applyBorder="1" applyAlignment="1">
      <alignment wrapText="1"/>
    </xf>
    <xf numFmtId="0" fontId="0" fillId="2" borderId="13" xfId="0" applyFill="1" applyBorder="1" applyAlignment="1">
      <alignment wrapText="1"/>
    </xf>
    <xf numFmtId="0" fontId="0" fillId="2" borderId="21" xfId="0" applyFill="1" applyBorder="1" applyAlignment="1">
      <alignment wrapText="1"/>
    </xf>
    <xf numFmtId="0" fontId="0" fillId="3" borderId="9" xfId="0" applyFill="1" applyBorder="1" applyAlignment="1">
      <alignment wrapText="1"/>
    </xf>
    <xf numFmtId="0" fontId="0" fillId="3" borderId="19" xfId="0" applyFill="1" applyBorder="1" applyAlignment="1">
      <alignment wrapText="1"/>
    </xf>
    <xf numFmtId="0" fontId="0" fillId="3" borderId="23" xfId="0" applyFill="1" applyBorder="1" applyAlignment="1">
      <alignment wrapText="1"/>
    </xf>
    <xf numFmtId="0" fontId="0" fillId="3" borderId="24" xfId="0" applyFill="1" applyBorder="1" applyAlignment="1">
      <alignment wrapText="1"/>
    </xf>
    <xf numFmtId="0" fontId="0" fillId="6" borderId="3" xfId="0" applyFill="1" applyBorder="1"/>
    <xf numFmtId="17" fontId="0" fillId="2" borderId="22" xfId="0" applyNumberFormat="1" applyFill="1" applyBorder="1" applyAlignment="1">
      <alignment wrapText="1"/>
    </xf>
    <xf numFmtId="17" fontId="0" fillId="2" borderId="23" xfId="0" applyNumberFormat="1" applyFill="1" applyBorder="1" applyAlignment="1">
      <alignment wrapText="1"/>
    </xf>
    <xf numFmtId="17" fontId="0" fillId="2" borderId="24" xfId="0" applyNumberFormat="1" applyFill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0" fillId="2" borderId="22" xfId="0" applyFill="1" applyBorder="1" applyAlignment="1">
      <alignment wrapText="1"/>
    </xf>
    <xf numFmtId="0" fontId="0" fillId="2" borderId="28" xfId="0" applyFill="1" applyBorder="1" applyAlignment="1">
      <alignment wrapText="1"/>
    </xf>
    <xf numFmtId="0" fontId="0" fillId="5" borderId="29" xfId="0" applyFill="1" applyBorder="1" applyAlignment="1">
      <alignment wrapText="1"/>
    </xf>
    <xf numFmtId="0" fontId="0" fillId="3" borderId="30" xfId="0" applyFill="1" applyBorder="1" applyAlignment="1">
      <alignment wrapText="1"/>
    </xf>
    <xf numFmtId="0" fontId="0" fillId="3" borderId="31" xfId="0" applyFill="1" applyBorder="1" applyAlignment="1">
      <alignment wrapText="1"/>
    </xf>
    <xf numFmtId="0" fontId="0" fillId="3" borderId="32" xfId="0" applyFill="1" applyBorder="1" applyAlignment="1">
      <alignment wrapText="1"/>
    </xf>
    <xf numFmtId="0" fontId="0" fillId="3" borderId="33" xfId="0" applyFill="1" applyBorder="1" applyAlignment="1">
      <alignment wrapText="1"/>
    </xf>
    <xf numFmtId="0" fontId="0" fillId="3" borderId="34" xfId="0" applyFill="1" applyBorder="1" applyAlignment="1">
      <alignment wrapText="1"/>
    </xf>
    <xf numFmtId="0" fontId="0" fillId="3" borderId="35" xfId="0" applyFill="1" applyBorder="1" applyAlignment="1">
      <alignment wrapText="1"/>
    </xf>
    <xf numFmtId="0" fontId="0" fillId="3" borderId="36" xfId="0" applyFill="1" applyBorder="1" applyAlignment="1">
      <alignment wrapText="1"/>
    </xf>
    <xf numFmtId="0" fontId="0" fillId="5" borderId="0" xfId="0" applyFill="1" applyAlignment="1">
      <alignment wrapText="1"/>
    </xf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4" fillId="2" borderId="26" xfId="0" applyFont="1" applyFill="1" applyBorder="1" applyAlignment="1">
      <alignment horizontal="center" wrapText="1"/>
    </xf>
    <xf numFmtId="0" fontId="4" fillId="2" borderId="27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4" fillId="2" borderId="25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228380</xdr:colOff>
      <xdr:row>0</xdr:row>
      <xdr:rowOff>0</xdr:rowOff>
    </xdr:from>
    <xdr:to>
      <xdr:col>19</xdr:col>
      <xdr:colOff>635000</xdr:colOff>
      <xdr:row>16</xdr:row>
      <xdr:rowOff>174440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D6C2F7F3-89DD-6DA3-C72E-47DC9FE0A2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9125" y="0"/>
          <a:ext cx="1703641" cy="33465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0</xdr:colOff>
      <xdr:row>8</xdr:row>
      <xdr:rowOff>0</xdr:rowOff>
    </xdr:from>
    <xdr:to>
      <xdr:col>21</xdr:col>
      <xdr:colOff>378045</xdr:colOff>
      <xdr:row>25</xdr:row>
      <xdr:rowOff>1932</xdr:rowOff>
    </xdr:to>
    <xdr:pic>
      <xdr:nvPicPr>
        <xdr:cNvPr id="9" name="Image 2">
          <a:extLst>
            <a:ext uri="{FF2B5EF4-FFF2-40B4-BE49-F238E27FC236}">
              <a16:creationId xmlns:a16="http://schemas.microsoft.com/office/drawing/2014/main" id="{9551BB3D-DD03-492A-9E7F-57CE5FA18596}"/>
            </a:ext>
            <a:ext uri="{147F2762-F138-4A5C-976F-8EAC2B608ADB}">
              <a16:predDERef xmlns:a16="http://schemas.microsoft.com/office/drawing/2014/main" pred="{E3BE633C-E7AB-40EB-814D-847A6B247C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82400" y="1524000"/>
          <a:ext cx="1597245" cy="33462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80F8E5A-C039-4E5B-8A56-6DF8C9ECE678}">
  <we:reference id="wa104100404" version="3.0.0.1" store="en-US" storeType="omex"/>
  <we:alternateReferences>
    <we:reference id="wa104100404" version="3.0.0.1" store="en-US" storeType="omex"/>
  </we:alternateReferences>
  <we:properties>
    <we:property name="UniqueID" value="&quot;20263231776951855183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1FEF3-5115-4109-9CFF-636C0C2D2A90}">
  <dimension ref="A1:G161"/>
  <sheetViews>
    <sheetView tabSelected="1" topLeftCell="A9" zoomScaleNormal="150" zoomScaleSheetLayoutView="100" workbookViewId="0">
      <selection activeCell="F25" sqref="F25"/>
    </sheetView>
  </sheetViews>
  <sheetFormatPr defaultRowHeight="15" x14ac:dyDescent="0.2"/>
  <cols>
    <col min="3" max="4" width="9.14453125" bestFit="1" customWidth="1"/>
    <col min="6" max="6" width="11.296875" bestFit="1" customWidth="1"/>
  </cols>
  <sheetData>
    <row r="1" spans="1:6" x14ac:dyDescent="0.2">
      <c r="A1" s="2" t="s">
        <v>115</v>
      </c>
    </row>
    <row r="2" spans="1:6" x14ac:dyDescent="0.2">
      <c r="A2" s="2" t="s">
        <v>186</v>
      </c>
    </row>
    <row r="3" spans="1:6" x14ac:dyDescent="0.2">
      <c r="A3" s="2" t="s">
        <v>194</v>
      </c>
    </row>
    <row r="4" spans="1:6" x14ac:dyDescent="0.2">
      <c r="A4" s="2" t="s">
        <v>0</v>
      </c>
    </row>
    <row r="6" spans="1:6" x14ac:dyDescent="0.2">
      <c r="A6" s="7" t="s">
        <v>1</v>
      </c>
      <c r="B6" s="7"/>
      <c r="C6" s="7"/>
      <c r="D6" s="7"/>
    </row>
    <row r="7" spans="1:6" x14ac:dyDescent="0.2">
      <c r="A7" s="4"/>
      <c r="B7" s="4" t="s">
        <v>2</v>
      </c>
      <c r="C7" s="4" t="s">
        <v>3</v>
      </c>
      <c r="D7" s="4" t="s">
        <v>4</v>
      </c>
    </row>
    <row r="8" spans="1:6" x14ac:dyDescent="0.2">
      <c r="A8" s="5"/>
      <c r="B8" s="6" t="s">
        <v>196</v>
      </c>
      <c r="C8" s="5">
        <v>445424.5</v>
      </c>
      <c r="D8" s="5">
        <v>445424.5</v>
      </c>
    </row>
    <row r="10" spans="1:6" x14ac:dyDescent="0.2">
      <c r="A10" s="7" t="s">
        <v>5</v>
      </c>
      <c r="B10" s="7"/>
      <c r="C10" s="7"/>
      <c r="D10" s="7"/>
      <c r="E10" s="7"/>
      <c r="F10" s="7"/>
    </row>
    <row r="11" spans="1:6" x14ac:dyDescent="0.2">
      <c r="A11" s="4"/>
      <c r="B11" s="4"/>
      <c r="C11" s="4" t="s">
        <v>6</v>
      </c>
      <c r="D11" s="4" t="s">
        <v>7</v>
      </c>
      <c r="E11" s="4" t="s">
        <v>8</v>
      </c>
      <c r="F11" s="4" t="s">
        <v>9</v>
      </c>
    </row>
    <row r="12" spans="1:6" x14ac:dyDescent="0.2">
      <c r="A12" s="4"/>
      <c r="B12" s="4" t="s">
        <v>2</v>
      </c>
      <c r="C12" s="4" t="s">
        <v>10</v>
      </c>
      <c r="D12" s="4" t="s">
        <v>11</v>
      </c>
      <c r="E12" s="4" t="s">
        <v>12</v>
      </c>
      <c r="F12" s="4" t="s">
        <v>12</v>
      </c>
    </row>
    <row r="13" spans="1:6" x14ac:dyDescent="0.2">
      <c r="A13" s="3"/>
      <c r="B13" s="3" t="s">
        <v>116</v>
      </c>
      <c r="C13" s="3">
        <v>0</v>
      </c>
      <c r="D13" s="3">
        <v>4</v>
      </c>
      <c r="E13" s="3">
        <v>1E+30</v>
      </c>
      <c r="F13" s="3">
        <v>8</v>
      </c>
    </row>
    <row r="14" spans="1:6" x14ac:dyDescent="0.2">
      <c r="A14" s="3"/>
      <c r="B14" s="3" t="s">
        <v>13</v>
      </c>
      <c r="C14" s="3">
        <v>0</v>
      </c>
      <c r="D14" s="3">
        <v>3</v>
      </c>
      <c r="E14" s="3">
        <v>1E+30</v>
      </c>
      <c r="F14" s="3">
        <v>8</v>
      </c>
    </row>
    <row r="15" spans="1:6" x14ac:dyDescent="0.2">
      <c r="A15" s="3"/>
      <c r="B15" s="3" t="s">
        <v>14</v>
      </c>
      <c r="C15" s="3">
        <v>0</v>
      </c>
      <c r="D15" s="3">
        <v>2</v>
      </c>
      <c r="E15" s="3">
        <v>1E+30</v>
      </c>
      <c r="F15" s="3">
        <v>8</v>
      </c>
    </row>
    <row r="16" spans="1:6" x14ac:dyDescent="0.2">
      <c r="A16" s="3"/>
      <c r="B16" s="3" t="s">
        <v>15</v>
      </c>
      <c r="C16" s="3">
        <v>0</v>
      </c>
      <c r="D16" s="3">
        <v>1</v>
      </c>
      <c r="E16" s="3">
        <v>1E+30</v>
      </c>
      <c r="F16" s="3">
        <v>8</v>
      </c>
    </row>
    <row r="17" spans="1:6" x14ac:dyDescent="0.2">
      <c r="A17" s="3"/>
      <c r="B17" s="3" t="s">
        <v>16</v>
      </c>
      <c r="C17" s="3">
        <v>4213</v>
      </c>
      <c r="D17" s="3">
        <v>0</v>
      </c>
      <c r="E17" s="3">
        <v>9.0000000999999994</v>
      </c>
      <c r="F17" s="3">
        <v>6.9999998999999997</v>
      </c>
    </row>
    <row r="18" spans="1:6" x14ac:dyDescent="0.2">
      <c r="A18" s="3"/>
      <c r="B18" s="3" t="s">
        <v>17</v>
      </c>
      <c r="C18" s="3">
        <v>4400</v>
      </c>
      <c r="D18" s="3">
        <v>0</v>
      </c>
      <c r="E18" s="3">
        <v>8.0000000999999994</v>
      </c>
      <c r="F18" s="3">
        <v>4.9999999000000006</v>
      </c>
    </row>
    <row r="19" spans="1:6" x14ac:dyDescent="0.2">
      <c r="A19" s="3"/>
      <c r="B19" s="3" t="s">
        <v>117</v>
      </c>
      <c r="C19" s="3">
        <v>4400</v>
      </c>
      <c r="D19" s="3">
        <v>0</v>
      </c>
      <c r="E19" s="3">
        <v>8.0000000999999994</v>
      </c>
      <c r="F19" s="3">
        <v>4.9999998999999997</v>
      </c>
    </row>
    <row r="20" spans="1:6" x14ac:dyDescent="0.2">
      <c r="A20" s="3"/>
      <c r="B20" s="3" t="s">
        <v>66</v>
      </c>
      <c r="C20" s="3">
        <v>4400</v>
      </c>
      <c r="D20" s="3">
        <v>0</v>
      </c>
      <c r="E20" s="3">
        <v>6.0000001000000003</v>
      </c>
      <c r="F20" s="3">
        <v>4.4999998999999997</v>
      </c>
    </row>
    <row r="21" spans="1:6" x14ac:dyDescent="0.2">
      <c r="A21" s="3"/>
      <c r="B21" s="3" t="s">
        <v>75</v>
      </c>
      <c r="C21" s="3">
        <v>4400</v>
      </c>
      <c r="D21" s="3">
        <v>0</v>
      </c>
      <c r="E21" s="3">
        <v>4.6666667999999998</v>
      </c>
      <c r="F21" s="3">
        <v>-2.0000001333333337</v>
      </c>
    </row>
    <row r="22" spans="1:6" x14ac:dyDescent="0.2">
      <c r="A22" s="3"/>
      <c r="B22" s="3" t="s">
        <v>118</v>
      </c>
      <c r="C22" s="3">
        <v>4400</v>
      </c>
      <c r="D22" s="3">
        <v>0</v>
      </c>
      <c r="E22" s="3">
        <v>5.0000001333333337</v>
      </c>
      <c r="F22" s="3">
        <v>0.99999960000000021</v>
      </c>
    </row>
    <row r="23" spans="1:6" x14ac:dyDescent="0.2">
      <c r="A23" s="3"/>
      <c r="B23" s="3" t="s">
        <v>119</v>
      </c>
      <c r="C23" s="3">
        <v>4400</v>
      </c>
      <c r="D23" s="3">
        <v>0</v>
      </c>
      <c r="E23" s="3">
        <v>4.0000003999999993</v>
      </c>
      <c r="F23" s="3">
        <v>-3.9999999978945766E-7</v>
      </c>
    </row>
    <row r="24" spans="1:6" x14ac:dyDescent="0.2">
      <c r="A24" s="3"/>
      <c r="B24" s="3" t="s">
        <v>120</v>
      </c>
      <c r="C24" s="3">
        <v>4400</v>
      </c>
      <c r="D24" s="3">
        <v>0</v>
      </c>
      <c r="E24" s="3">
        <v>3.0000003999999998</v>
      </c>
      <c r="F24" s="3">
        <v>-1.0000001333333333</v>
      </c>
    </row>
    <row r="25" spans="1:6" x14ac:dyDescent="0.2">
      <c r="A25" s="3"/>
      <c r="B25" s="3" t="s">
        <v>121</v>
      </c>
      <c r="C25" s="3">
        <v>0</v>
      </c>
      <c r="D25" s="3">
        <v>8</v>
      </c>
      <c r="E25" s="3">
        <v>1E+30</v>
      </c>
      <c r="F25" s="3">
        <v>20</v>
      </c>
    </row>
    <row r="26" spans="1:6" x14ac:dyDescent="0.2">
      <c r="A26" s="3"/>
      <c r="B26" s="3" t="s">
        <v>18</v>
      </c>
      <c r="C26" s="3">
        <v>0</v>
      </c>
      <c r="D26" s="3">
        <v>6.5</v>
      </c>
      <c r="E26" s="3">
        <v>1E+30</v>
      </c>
      <c r="F26" s="3">
        <v>20</v>
      </c>
    </row>
    <row r="27" spans="1:6" x14ac:dyDescent="0.2">
      <c r="A27" s="3"/>
      <c r="B27" s="3" t="s">
        <v>19</v>
      </c>
      <c r="C27" s="3">
        <v>0</v>
      </c>
      <c r="D27" s="3">
        <v>5</v>
      </c>
      <c r="E27" s="3">
        <v>1E+30</v>
      </c>
      <c r="F27" s="3">
        <v>20</v>
      </c>
    </row>
    <row r="28" spans="1:6" x14ac:dyDescent="0.2">
      <c r="A28" s="3"/>
      <c r="B28" s="3" t="s">
        <v>20</v>
      </c>
      <c r="C28" s="3">
        <v>0</v>
      </c>
      <c r="D28" s="3">
        <v>5</v>
      </c>
      <c r="E28" s="3">
        <v>1E+30</v>
      </c>
      <c r="F28" s="3">
        <v>18.5</v>
      </c>
    </row>
    <row r="29" spans="1:6" x14ac:dyDescent="0.2">
      <c r="A29" s="3"/>
      <c r="B29" s="3" t="s">
        <v>21</v>
      </c>
      <c r="C29" s="3">
        <v>0</v>
      </c>
      <c r="D29" s="3">
        <v>3.5</v>
      </c>
      <c r="E29" s="3">
        <v>1E+30</v>
      </c>
      <c r="F29" s="3">
        <v>18.5</v>
      </c>
    </row>
    <row r="30" spans="1:6" x14ac:dyDescent="0.2">
      <c r="A30" s="3"/>
      <c r="B30" s="3" t="s">
        <v>22</v>
      </c>
      <c r="C30" s="3">
        <v>0</v>
      </c>
      <c r="D30" s="3">
        <v>2</v>
      </c>
      <c r="E30" s="3">
        <v>1E+30</v>
      </c>
      <c r="F30" s="3">
        <v>18.5</v>
      </c>
    </row>
    <row r="31" spans="1:6" x14ac:dyDescent="0.2">
      <c r="A31" s="3"/>
      <c r="B31" s="3" t="s">
        <v>122</v>
      </c>
      <c r="C31" s="3">
        <v>0</v>
      </c>
      <c r="D31" s="3">
        <v>0.5</v>
      </c>
      <c r="E31" s="3">
        <v>1E+30</v>
      </c>
      <c r="F31" s="3">
        <v>18.5</v>
      </c>
    </row>
    <row r="32" spans="1:6" x14ac:dyDescent="0.2">
      <c r="A32" s="3"/>
      <c r="B32" s="3" t="s">
        <v>67</v>
      </c>
      <c r="C32" s="3">
        <v>300</v>
      </c>
      <c r="D32" s="3">
        <v>0</v>
      </c>
      <c r="E32" s="3">
        <v>18.500000100000001</v>
      </c>
      <c r="F32" s="3">
        <v>15.999999900000001</v>
      </c>
    </row>
    <row r="33" spans="1:6" x14ac:dyDescent="0.2">
      <c r="A33" s="3"/>
      <c r="B33" s="3" t="s">
        <v>76</v>
      </c>
      <c r="C33" s="3">
        <v>300</v>
      </c>
      <c r="D33" s="3">
        <v>0</v>
      </c>
      <c r="E33" s="3">
        <v>17.500000100000001</v>
      </c>
      <c r="F33" s="3">
        <v>14.499999900000001</v>
      </c>
    </row>
    <row r="34" spans="1:6" x14ac:dyDescent="0.2">
      <c r="A34" s="3"/>
      <c r="B34" s="3" t="s">
        <v>123</v>
      </c>
      <c r="C34" s="3">
        <v>300</v>
      </c>
      <c r="D34" s="3">
        <v>0</v>
      </c>
      <c r="E34" s="3">
        <v>16.000000100000001</v>
      </c>
      <c r="F34" s="3">
        <v>12.999999900000001</v>
      </c>
    </row>
    <row r="35" spans="1:6" x14ac:dyDescent="0.2">
      <c r="A35" s="3"/>
      <c r="B35" s="3" t="s">
        <v>124</v>
      </c>
      <c r="C35" s="3">
        <v>300</v>
      </c>
      <c r="D35" s="3">
        <v>0</v>
      </c>
      <c r="E35" s="3">
        <v>14.500000099999999</v>
      </c>
      <c r="F35" s="3">
        <v>11.499999900000001</v>
      </c>
    </row>
    <row r="36" spans="1:6" x14ac:dyDescent="0.2">
      <c r="A36" s="3"/>
      <c r="B36" s="3" t="s">
        <v>125</v>
      </c>
      <c r="C36" s="3">
        <v>300</v>
      </c>
      <c r="D36" s="3">
        <v>0</v>
      </c>
      <c r="E36" s="3">
        <v>13.000000099999999</v>
      </c>
      <c r="F36" s="3">
        <v>9.4999998666666663</v>
      </c>
    </row>
    <row r="37" spans="1:6" x14ac:dyDescent="0.2">
      <c r="A37" s="3"/>
      <c r="B37" s="3" t="s">
        <v>126</v>
      </c>
      <c r="C37" s="3">
        <v>0</v>
      </c>
      <c r="D37" s="3">
        <v>3</v>
      </c>
      <c r="E37" s="3">
        <v>1E+30</v>
      </c>
      <c r="F37" s="3">
        <v>20</v>
      </c>
    </row>
    <row r="38" spans="1:6" x14ac:dyDescent="0.2">
      <c r="A38" s="3"/>
      <c r="B38" s="3" t="s">
        <v>23</v>
      </c>
      <c r="C38" s="3">
        <v>0</v>
      </c>
      <c r="D38" s="3">
        <v>1.5</v>
      </c>
      <c r="E38" s="3">
        <v>1E+30</v>
      </c>
      <c r="F38" s="3">
        <v>20</v>
      </c>
    </row>
    <row r="39" spans="1:6" x14ac:dyDescent="0.2">
      <c r="A39" s="3"/>
      <c r="B39" s="3" t="s">
        <v>24</v>
      </c>
      <c r="C39" s="3">
        <v>994</v>
      </c>
      <c r="D39" s="3">
        <v>0</v>
      </c>
      <c r="E39" s="3">
        <v>21.500000100000001</v>
      </c>
      <c r="F39" s="3">
        <v>18.499999899999999</v>
      </c>
    </row>
    <row r="40" spans="1:6" x14ac:dyDescent="0.2">
      <c r="A40" s="3"/>
      <c r="B40" s="3" t="s">
        <v>25</v>
      </c>
      <c r="C40" s="3">
        <v>2719</v>
      </c>
      <c r="D40" s="3">
        <v>0</v>
      </c>
      <c r="E40" s="3">
        <v>19.000000100000001</v>
      </c>
      <c r="F40" s="3">
        <v>17.833333199999998</v>
      </c>
    </row>
    <row r="41" spans="1:6" x14ac:dyDescent="0.2">
      <c r="A41" s="3"/>
      <c r="B41" s="3" t="s">
        <v>26</v>
      </c>
      <c r="C41" s="3">
        <v>4100</v>
      </c>
      <c r="D41" s="3">
        <v>0</v>
      </c>
      <c r="E41" s="3">
        <v>18.500000100000001</v>
      </c>
      <c r="F41" s="3">
        <v>14.999999600000001</v>
      </c>
    </row>
    <row r="42" spans="1:6" x14ac:dyDescent="0.2">
      <c r="A42" s="3"/>
      <c r="B42" s="3" t="s">
        <v>27</v>
      </c>
      <c r="C42" s="3">
        <v>4100</v>
      </c>
      <c r="D42" s="3">
        <v>0</v>
      </c>
      <c r="E42" s="3">
        <v>17.500000100000001</v>
      </c>
      <c r="F42" s="3">
        <v>13.499999600000001</v>
      </c>
    </row>
    <row r="43" spans="1:6" x14ac:dyDescent="0.2">
      <c r="A43" s="3"/>
      <c r="B43" s="3" t="s">
        <v>127</v>
      </c>
      <c r="C43" s="3">
        <v>4100</v>
      </c>
      <c r="D43" s="3">
        <v>0</v>
      </c>
      <c r="E43" s="3">
        <v>16.000000400000001</v>
      </c>
      <c r="F43" s="3">
        <v>11.999999600000001</v>
      </c>
    </row>
    <row r="44" spans="1:6" x14ac:dyDescent="0.2">
      <c r="A44" s="3"/>
      <c r="B44" s="3" t="s">
        <v>68</v>
      </c>
      <c r="C44" s="3">
        <v>4100</v>
      </c>
      <c r="D44" s="3">
        <v>0</v>
      </c>
      <c r="E44" s="3">
        <v>14.500000399999999</v>
      </c>
      <c r="F44" s="3">
        <v>10.499999600000001</v>
      </c>
    </row>
    <row r="45" spans="1:6" x14ac:dyDescent="0.2">
      <c r="A45" s="3"/>
      <c r="B45" s="3" t="s">
        <v>77</v>
      </c>
      <c r="C45" s="3">
        <v>4100</v>
      </c>
      <c r="D45" s="3">
        <v>0</v>
      </c>
      <c r="E45" s="3">
        <v>13.000000399999999</v>
      </c>
      <c r="F45" s="3">
        <v>8.9999996000000007</v>
      </c>
    </row>
    <row r="46" spans="1:6" x14ac:dyDescent="0.2">
      <c r="A46" s="3"/>
      <c r="B46" s="3" t="s">
        <v>128</v>
      </c>
      <c r="C46" s="3">
        <v>4100</v>
      </c>
      <c r="D46" s="3">
        <v>0</v>
      </c>
      <c r="E46" s="3">
        <v>11.500000399999999</v>
      </c>
      <c r="F46" s="3">
        <v>7.4999996000000007</v>
      </c>
    </row>
    <row r="47" spans="1:6" x14ac:dyDescent="0.2">
      <c r="A47" s="3"/>
      <c r="B47" s="3" t="s">
        <v>129</v>
      </c>
      <c r="C47" s="3">
        <v>4100</v>
      </c>
      <c r="D47" s="3">
        <v>0</v>
      </c>
      <c r="E47" s="3">
        <v>10.000000399999999</v>
      </c>
      <c r="F47" s="3">
        <v>5.9999996000000007</v>
      </c>
    </row>
    <row r="48" spans="1:6" x14ac:dyDescent="0.2">
      <c r="A48" s="3"/>
      <c r="B48" s="3" t="s">
        <v>130</v>
      </c>
      <c r="C48" s="3">
        <v>4100</v>
      </c>
      <c r="D48" s="3">
        <v>0</v>
      </c>
      <c r="E48" s="3">
        <v>8.5000001333333337</v>
      </c>
      <c r="F48" s="3">
        <v>4.4999996000000007</v>
      </c>
    </row>
    <row r="49" spans="1:6" x14ac:dyDescent="0.2">
      <c r="A49" s="3"/>
      <c r="B49" s="3" t="s">
        <v>131</v>
      </c>
      <c r="C49" s="3">
        <v>0</v>
      </c>
      <c r="D49" s="3">
        <v>0.5</v>
      </c>
      <c r="E49" s="3">
        <v>1E+30</v>
      </c>
      <c r="F49" s="3">
        <v>5.5</v>
      </c>
    </row>
    <row r="50" spans="1:6" x14ac:dyDescent="0.2">
      <c r="A50" s="3"/>
      <c r="B50" s="3" t="s">
        <v>28</v>
      </c>
      <c r="C50" s="3">
        <v>936</v>
      </c>
      <c r="D50" s="3">
        <v>0</v>
      </c>
      <c r="E50" s="3">
        <v>6.0000001000000003</v>
      </c>
      <c r="F50" s="3">
        <v>4.9999998999999997</v>
      </c>
    </row>
    <row r="51" spans="1:6" x14ac:dyDescent="0.2">
      <c r="A51" s="3"/>
      <c r="B51" s="3" t="s">
        <v>29</v>
      </c>
      <c r="C51" s="3">
        <v>1058</v>
      </c>
      <c r="D51" s="3">
        <v>0</v>
      </c>
      <c r="E51" s="3">
        <v>5.5000001000000003</v>
      </c>
      <c r="F51" s="3">
        <v>2.9999999000000002</v>
      </c>
    </row>
    <row r="52" spans="1:6" x14ac:dyDescent="0.2">
      <c r="A52" s="3"/>
      <c r="B52" s="3" t="s">
        <v>30</v>
      </c>
      <c r="C52" s="3">
        <v>1819</v>
      </c>
      <c r="D52" s="3">
        <v>0</v>
      </c>
      <c r="E52" s="3">
        <v>5.0000001000000003</v>
      </c>
      <c r="F52" s="3">
        <v>3.9999999000000002</v>
      </c>
    </row>
    <row r="53" spans="1:6" x14ac:dyDescent="0.2">
      <c r="A53" s="3"/>
      <c r="B53" s="3" t="s">
        <v>31</v>
      </c>
      <c r="C53" s="3">
        <v>3878</v>
      </c>
      <c r="D53" s="3">
        <v>0</v>
      </c>
      <c r="E53" s="3">
        <v>4.5000001000000003</v>
      </c>
      <c r="F53" s="3">
        <v>3.4999999000000002</v>
      </c>
    </row>
    <row r="54" spans="1:6" x14ac:dyDescent="0.2">
      <c r="A54" s="3"/>
      <c r="B54" s="3" t="s">
        <v>32</v>
      </c>
      <c r="C54" s="3">
        <v>2992</v>
      </c>
      <c r="D54" s="3">
        <v>0</v>
      </c>
      <c r="E54" s="3">
        <v>4.0000001000000003</v>
      </c>
      <c r="F54" s="3">
        <v>2.9999999000000002</v>
      </c>
    </row>
    <row r="55" spans="1:6" x14ac:dyDescent="0.2">
      <c r="A55" s="3"/>
      <c r="B55" s="3" t="s">
        <v>132</v>
      </c>
      <c r="C55" s="3">
        <v>2570</v>
      </c>
      <c r="D55" s="3">
        <v>0</v>
      </c>
      <c r="E55" s="3">
        <v>3.5000000999999998</v>
      </c>
      <c r="F55" s="3">
        <v>2.4999999000000002</v>
      </c>
    </row>
    <row r="56" spans="1:6" x14ac:dyDescent="0.2">
      <c r="A56" s="3"/>
      <c r="B56" s="3" t="s">
        <v>69</v>
      </c>
      <c r="C56" s="3">
        <v>1912</v>
      </c>
      <c r="D56" s="3">
        <v>0</v>
      </c>
      <c r="E56" s="3">
        <v>3.0000000999999998</v>
      </c>
      <c r="F56" s="3">
        <v>1.9999999000000002</v>
      </c>
    </row>
    <row r="57" spans="1:6" x14ac:dyDescent="0.2">
      <c r="A57" s="3"/>
      <c r="B57" s="3" t="s">
        <v>78</v>
      </c>
      <c r="C57" s="3">
        <v>1375</v>
      </c>
      <c r="D57" s="3">
        <v>0</v>
      </c>
      <c r="E57" s="3">
        <v>2.5000000999999998</v>
      </c>
      <c r="F57" s="3">
        <v>1.4999999000000002</v>
      </c>
    </row>
    <row r="58" spans="1:6" x14ac:dyDescent="0.2">
      <c r="A58" s="3"/>
      <c r="B58" s="3" t="s">
        <v>133</v>
      </c>
      <c r="C58" s="3">
        <v>1032</v>
      </c>
      <c r="D58" s="3">
        <v>0</v>
      </c>
      <c r="E58" s="3">
        <v>2.0000000999999998</v>
      </c>
      <c r="F58" s="3">
        <v>0.99999990000000005</v>
      </c>
    </row>
    <row r="59" spans="1:6" x14ac:dyDescent="0.2">
      <c r="A59" s="3"/>
      <c r="B59" s="3" t="s">
        <v>134</v>
      </c>
      <c r="C59" s="3">
        <v>1846</v>
      </c>
      <c r="D59" s="3">
        <v>0</v>
      </c>
      <c r="E59" s="3">
        <v>1.5000000999999998</v>
      </c>
      <c r="F59" s="3">
        <v>0.49999990000000005</v>
      </c>
    </row>
    <row r="60" spans="1:6" x14ac:dyDescent="0.2">
      <c r="A60" s="3"/>
      <c r="B60" s="3" t="s">
        <v>135</v>
      </c>
      <c r="C60" s="3">
        <v>1754</v>
      </c>
      <c r="D60" s="3">
        <v>0</v>
      </c>
      <c r="E60" s="3">
        <v>15.000000099999999</v>
      </c>
      <c r="F60" s="3">
        <v>-9.9999999947364415E-8</v>
      </c>
    </row>
    <row r="61" spans="1:6" x14ac:dyDescent="0.2">
      <c r="A61" s="3"/>
      <c r="B61" s="3" t="s">
        <v>136</v>
      </c>
      <c r="C61" s="3">
        <v>0</v>
      </c>
      <c r="D61" s="3">
        <v>5</v>
      </c>
      <c r="E61" s="3">
        <v>1E+30</v>
      </c>
      <c r="F61" s="3">
        <v>7</v>
      </c>
    </row>
    <row r="62" spans="1:6" x14ac:dyDescent="0.2">
      <c r="A62" s="3"/>
      <c r="B62" s="3" t="s">
        <v>33</v>
      </c>
      <c r="C62" s="3">
        <v>0</v>
      </c>
      <c r="D62" s="3">
        <v>4</v>
      </c>
      <c r="E62" s="3">
        <v>1E+30</v>
      </c>
      <c r="F62" s="3">
        <v>7</v>
      </c>
    </row>
    <row r="63" spans="1:6" x14ac:dyDescent="0.2">
      <c r="A63" s="3"/>
      <c r="B63" s="3" t="s">
        <v>34</v>
      </c>
      <c r="C63" s="3">
        <v>0</v>
      </c>
      <c r="D63" s="3">
        <v>3</v>
      </c>
      <c r="E63" s="3">
        <v>1E+30</v>
      </c>
      <c r="F63" s="3">
        <v>7</v>
      </c>
    </row>
    <row r="64" spans="1:6" x14ac:dyDescent="0.2">
      <c r="A64" s="3"/>
      <c r="B64" s="3" t="s">
        <v>35</v>
      </c>
      <c r="C64" s="3">
        <v>0</v>
      </c>
      <c r="D64" s="3">
        <v>0.5</v>
      </c>
      <c r="E64" s="3">
        <v>1E+30</v>
      </c>
      <c r="F64" s="3">
        <v>8.5</v>
      </c>
    </row>
    <row r="65" spans="1:7" x14ac:dyDescent="0.2">
      <c r="A65" s="3"/>
      <c r="B65" s="3" t="s">
        <v>36</v>
      </c>
      <c r="C65" s="3">
        <v>522</v>
      </c>
      <c r="D65" s="3">
        <v>0</v>
      </c>
      <c r="E65" s="3">
        <v>8.5000000999999994</v>
      </c>
      <c r="F65" s="3">
        <v>7.4999998999999997</v>
      </c>
    </row>
    <row r="66" spans="1:7" x14ac:dyDescent="0.2">
      <c r="A66" s="3"/>
      <c r="B66" s="3" t="s">
        <v>37</v>
      </c>
      <c r="C66" s="3">
        <v>1408</v>
      </c>
      <c r="D66" s="3">
        <v>0</v>
      </c>
      <c r="E66" s="3">
        <v>7.5000001000000003</v>
      </c>
      <c r="F66" s="3">
        <v>6.4999998999999997</v>
      </c>
    </row>
    <row r="67" spans="1:7" x14ac:dyDescent="0.2">
      <c r="A67" s="3"/>
      <c r="B67" s="3" t="s">
        <v>137</v>
      </c>
      <c r="C67" s="3">
        <v>1830</v>
      </c>
      <c r="D67" s="3">
        <v>0</v>
      </c>
      <c r="E67" s="3">
        <v>6.5000001000000003</v>
      </c>
      <c r="F67" s="3">
        <v>5.4999998999999997</v>
      </c>
    </row>
    <row r="68" spans="1:7" x14ac:dyDescent="0.2">
      <c r="A68" s="3"/>
      <c r="B68" s="3" t="s">
        <v>70</v>
      </c>
      <c r="C68" s="3">
        <v>2488</v>
      </c>
      <c r="D68" s="3">
        <v>0</v>
      </c>
      <c r="E68" s="3">
        <v>5.5000001000000003</v>
      </c>
      <c r="F68" s="3">
        <v>4.4999998999999997</v>
      </c>
    </row>
    <row r="69" spans="1:7" x14ac:dyDescent="0.2">
      <c r="A69" s="3"/>
      <c r="B69" s="3" t="s">
        <v>79</v>
      </c>
      <c r="C69" s="3">
        <v>3025</v>
      </c>
      <c r="D69" s="3">
        <v>0</v>
      </c>
      <c r="E69" s="3">
        <v>4.5000001000000003</v>
      </c>
      <c r="F69" s="3">
        <v>3.4999999000000002</v>
      </c>
    </row>
    <row r="70" spans="1:7" x14ac:dyDescent="0.2">
      <c r="A70" s="3"/>
      <c r="B70" s="3" t="s">
        <v>138</v>
      </c>
      <c r="C70" s="3">
        <v>3368</v>
      </c>
      <c r="D70" s="3">
        <v>0</v>
      </c>
      <c r="E70" s="3">
        <v>3.5000000999999998</v>
      </c>
      <c r="F70" s="3">
        <v>2.4999999000000002</v>
      </c>
    </row>
    <row r="71" spans="1:7" x14ac:dyDescent="0.2">
      <c r="A71" s="3"/>
      <c r="B71" s="3" t="s">
        <v>139</v>
      </c>
      <c r="C71" s="3">
        <v>2554</v>
      </c>
      <c r="D71" s="3">
        <v>0</v>
      </c>
      <c r="E71" s="3">
        <v>2.5000000999999998</v>
      </c>
      <c r="F71" s="3">
        <v>1.4999999000000002</v>
      </c>
    </row>
    <row r="72" spans="1:7" x14ac:dyDescent="0.2">
      <c r="A72" s="3"/>
      <c r="B72" s="3" t="s">
        <v>140</v>
      </c>
      <c r="C72" s="3">
        <v>2646</v>
      </c>
      <c r="D72" s="3">
        <v>0</v>
      </c>
      <c r="E72" s="3">
        <v>1.5000000999999998</v>
      </c>
      <c r="F72" s="3">
        <v>-30.500000100000001</v>
      </c>
    </row>
    <row r="73" spans="1:7" x14ac:dyDescent="0.2">
      <c r="A73" s="5"/>
      <c r="B73" s="5" t="s">
        <v>141</v>
      </c>
      <c r="C73" s="5">
        <v>4100</v>
      </c>
      <c r="D73" s="5">
        <v>0</v>
      </c>
      <c r="E73" s="5">
        <v>27.000000400000001</v>
      </c>
      <c r="F73" s="5">
        <v>22.999999599999999</v>
      </c>
    </row>
    <row r="75" spans="1:7" x14ac:dyDescent="0.2">
      <c r="A75" s="7" t="s">
        <v>58</v>
      </c>
      <c r="B75" s="7"/>
      <c r="C75" s="7"/>
      <c r="D75" s="7"/>
      <c r="E75" s="7"/>
      <c r="F75" s="7"/>
      <c r="G75" s="7"/>
    </row>
    <row r="76" spans="1:7" x14ac:dyDescent="0.2">
      <c r="A76" s="4"/>
      <c r="B76" s="4"/>
      <c r="C76" s="4" t="s">
        <v>6</v>
      </c>
      <c r="D76" s="4" t="s">
        <v>59</v>
      </c>
      <c r="E76" s="4" t="s">
        <v>60</v>
      </c>
      <c r="F76" s="4" t="s">
        <v>61</v>
      </c>
      <c r="G76" s="4" t="s">
        <v>61</v>
      </c>
    </row>
    <row r="77" spans="1:7" x14ac:dyDescent="0.2">
      <c r="A77" s="4"/>
      <c r="B77" s="4" t="s">
        <v>2</v>
      </c>
      <c r="C77" s="4" t="s">
        <v>10</v>
      </c>
      <c r="D77" s="4" t="s">
        <v>62</v>
      </c>
      <c r="E77" s="4" t="s">
        <v>63</v>
      </c>
      <c r="F77" s="4" t="s">
        <v>64</v>
      </c>
      <c r="G77" s="4" t="s">
        <v>65</v>
      </c>
    </row>
    <row r="78" spans="1:7" x14ac:dyDescent="0.2">
      <c r="A78" s="3"/>
      <c r="B78" s="3" t="s">
        <v>142</v>
      </c>
      <c r="C78" s="3">
        <v>0</v>
      </c>
      <c r="D78" s="3">
        <v>0</v>
      </c>
      <c r="E78" s="3">
        <v>8500</v>
      </c>
      <c r="F78" s="3">
        <v>1E+30</v>
      </c>
      <c r="G78" s="3">
        <v>8500</v>
      </c>
    </row>
    <row r="79" spans="1:7" x14ac:dyDescent="0.2">
      <c r="A79" s="3"/>
      <c r="B79" s="3" t="s">
        <v>143</v>
      </c>
      <c r="C79" s="3">
        <v>0</v>
      </c>
      <c r="D79" s="3">
        <v>0</v>
      </c>
      <c r="E79" s="3">
        <v>8500</v>
      </c>
      <c r="F79" s="3">
        <v>1E+30</v>
      </c>
      <c r="G79" s="3">
        <v>8500</v>
      </c>
    </row>
    <row r="80" spans="1:7" x14ac:dyDescent="0.2">
      <c r="A80" s="3"/>
      <c r="B80" s="3" t="s">
        <v>144</v>
      </c>
      <c r="C80" s="3">
        <v>994</v>
      </c>
      <c r="D80" s="3">
        <v>0</v>
      </c>
      <c r="E80" s="3">
        <v>8500</v>
      </c>
      <c r="F80" s="3">
        <v>1E+30</v>
      </c>
      <c r="G80" s="3">
        <v>7506</v>
      </c>
    </row>
    <row r="81" spans="1:7" x14ac:dyDescent="0.2">
      <c r="A81" s="3"/>
      <c r="B81" s="3" t="s">
        <v>145</v>
      </c>
      <c r="C81" s="3">
        <v>2719</v>
      </c>
      <c r="D81" s="3">
        <v>0</v>
      </c>
      <c r="E81" s="3">
        <v>8500</v>
      </c>
      <c r="F81" s="3">
        <v>1E+30</v>
      </c>
      <c r="G81" s="3">
        <v>5781</v>
      </c>
    </row>
    <row r="82" spans="1:7" x14ac:dyDescent="0.2">
      <c r="A82" s="3"/>
      <c r="B82" s="3" t="s">
        <v>146</v>
      </c>
      <c r="C82" s="3">
        <v>8313</v>
      </c>
      <c r="D82" s="3">
        <v>0</v>
      </c>
      <c r="E82" s="3">
        <v>8500</v>
      </c>
      <c r="F82" s="3">
        <v>1E+30</v>
      </c>
      <c r="G82" s="3">
        <v>187</v>
      </c>
    </row>
    <row r="83" spans="1:7" x14ac:dyDescent="0.2">
      <c r="A83" s="3"/>
      <c r="B83" s="3" t="s">
        <v>147</v>
      </c>
      <c r="C83" s="3">
        <v>8500</v>
      </c>
      <c r="D83" s="3">
        <v>-1</v>
      </c>
      <c r="E83" s="3">
        <v>8500</v>
      </c>
      <c r="F83" s="3">
        <v>0</v>
      </c>
      <c r="G83" s="3">
        <v>187</v>
      </c>
    </row>
    <row r="84" spans="1:7" x14ac:dyDescent="0.2">
      <c r="A84" s="3"/>
      <c r="B84" s="3" t="s">
        <v>148</v>
      </c>
      <c r="C84" s="3">
        <v>8500</v>
      </c>
      <c r="D84" s="3">
        <v>0</v>
      </c>
      <c r="E84" s="3">
        <v>8500</v>
      </c>
      <c r="F84" s="3">
        <v>1E+30</v>
      </c>
      <c r="G84" s="3">
        <v>0</v>
      </c>
    </row>
    <row r="85" spans="1:7" x14ac:dyDescent="0.2">
      <c r="A85" s="3"/>
      <c r="B85" s="3" t="s">
        <v>149</v>
      </c>
      <c r="C85" s="3">
        <v>8500</v>
      </c>
      <c r="D85" s="3">
        <v>0</v>
      </c>
      <c r="E85" s="3">
        <v>8500</v>
      </c>
      <c r="F85" s="3">
        <v>1E+30</v>
      </c>
      <c r="G85" s="3">
        <v>0</v>
      </c>
    </row>
    <row r="86" spans="1:7" x14ac:dyDescent="0.2">
      <c r="A86" s="3"/>
      <c r="B86" s="3" t="s">
        <v>150</v>
      </c>
      <c r="C86" s="3">
        <v>8500</v>
      </c>
      <c r="D86" s="3">
        <v>-0.5</v>
      </c>
      <c r="E86" s="3">
        <v>8500</v>
      </c>
      <c r="F86" s="3">
        <v>0</v>
      </c>
      <c r="G86" s="3">
        <v>0</v>
      </c>
    </row>
    <row r="87" spans="1:7" x14ac:dyDescent="0.2">
      <c r="A87" s="3"/>
      <c r="B87" s="3" t="s">
        <v>151</v>
      </c>
      <c r="C87" s="3">
        <v>8500</v>
      </c>
      <c r="D87" s="3">
        <v>-1.5</v>
      </c>
      <c r="E87" s="3">
        <v>8500</v>
      </c>
      <c r="F87" s="3">
        <v>0</v>
      </c>
      <c r="G87" s="3">
        <v>0</v>
      </c>
    </row>
    <row r="88" spans="1:7" x14ac:dyDescent="0.2">
      <c r="A88" s="3"/>
      <c r="B88" s="3" t="s">
        <v>152</v>
      </c>
      <c r="C88" s="3">
        <v>8500</v>
      </c>
      <c r="D88" s="3">
        <v>-2.5</v>
      </c>
      <c r="E88" s="3">
        <v>8500</v>
      </c>
      <c r="F88" s="3">
        <v>0</v>
      </c>
      <c r="G88" s="3">
        <v>0</v>
      </c>
    </row>
    <row r="89" spans="1:7" x14ac:dyDescent="0.2">
      <c r="A89" s="3"/>
      <c r="B89" s="3" t="s">
        <v>153</v>
      </c>
      <c r="C89" s="3">
        <v>8500</v>
      </c>
      <c r="D89" s="3">
        <v>-3.5</v>
      </c>
      <c r="E89" s="3">
        <v>8500</v>
      </c>
      <c r="F89" s="3">
        <v>0</v>
      </c>
      <c r="G89" s="3">
        <v>0</v>
      </c>
    </row>
    <row r="90" spans="1:7" x14ac:dyDescent="0.2">
      <c r="A90" s="3"/>
      <c r="B90" s="3" t="s">
        <v>154</v>
      </c>
      <c r="C90" s="3">
        <v>0</v>
      </c>
      <c r="D90" s="3">
        <v>0</v>
      </c>
      <c r="E90" s="3">
        <v>4400</v>
      </c>
      <c r="F90" s="3">
        <v>1E+30</v>
      </c>
      <c r="G90" s="3">
        <v>4400</v>
      </c>
    </row>
    <row r="91" spans="1:7" x14ac:dyDescent="0.2">
      <c r="A91" s="3"/>
      <c r="B91" s="3" t="s">
        <v>155</v>
      </c>
      <c r="C91" s="3">
        <v>936</v>
      </c>
      <c r="D91" s="3">
        <v>0</v>
      </c>
      <c r="E91" s="3">
        <v>4400</v>
      </c>
      <c r="F91" s="3">
        <v>1E+30</v>
      </c>
      <c r="G91" s="3">
        <v>3464</v>
      </c>
    </row>
    <row r="92" spans="1:7" x14ac:dyDescent="0.2">
      <c r="A92" s="3"/>
      <c r="B92" s="3" t="s">
        <v>156</v>
      </c>
      <c r="C92" s="3">
        <v>1058</v>
      </c>
      <c r="D92" s="3">
        <v>0</v>
      </c>
      <c r="E92" s="3">
        <v>4400</v>
      </c>
      <c r="F92" s="3">
        <v>1E+30</v>
      </c>
      <c r="G92" s="3">
        <v>3342</v>
      </c>
    </row>
    <row r="93" spans="1:7" x14ac:dyDescent="0.2">
      <c r="A93" s="3"/>
      <c r="B93" s="3" t="s">
        <v>157</v>
      </c>
      <c r="C93" s="3">
        <v>1819</v>
      </c>
      <c r="D93" s="3">
        <v>0</v>
      </c>
      <c r="E93" s="3">
        <v>4400</v>
      </c>
      <c r="F93" s="3">
        <v>1E+30</v>
      </c>
      <c r="G93" s="3">
        <v>2581</v>
      </c>
    </row>
    <row r="94" spans="1:7" x14ac:dyDescent="0.2">
      <c r="A94" s="3"/>
      <c r="B94" s="3" t="s">
        <v>158</v>
      </c>
      <c r="C94" s="3">
        <v>4400</v>
      </c>
      <c r="D94" s="3">
        <v>-0.5</v>
      </c>
      <c r="E94" s="3">
        <v>4400</v>
      </c>
      <c r="F94" s="3">
        <v>778</v>
      </c>
      <c r="G94" s="3">
        <v>187</v>
      </c>
    </row>
    <row r="95" spans="1:7" x14ac:dyDescent="0.2">
      <c r="A95" s="3"/>
      <c r="B95" s="3" t="s">
        <v>159</v>
      </c>
      <c r="C95" s="3">
        <v>4400</v>
      </c>
      <c r="D95" s="3">
        <v>-1</v>
      </c>
      <c r="E95" s="3">
        <v>4400</v>
      </c>
      <c r="F95" s="3">
        <v>778</v>
      </c>
      <c r="G95" s="3">
        <v>0</v>
      </c>
    </row>
    <row r="96" spans="1:7" x14ac:dyDescent="0.2">
      <c r="A96" s="3"/>
      <c r="B96" s="3" t="s">
        <v>160</v>
      </c>
      <c r="C96" s="3">
        <v>4400</v>
      </c>
      <c r="D96" s="3">
        <v>-3.5</v>
      </c>
      <c r="E96" s="3">
        <v>4400</v>
      </c>
      <c r="F96" s="3">
        <v>0</v>
      </c>
      <c r="G96" s="3">
        <v>187</v>
      </c>
    </row>
    <row r="97" spans="1:7" x14ac:dyDescent="0.2">
      <c r="A97" s="3"/>
      <c r="B97" s="3" t="s">
        <v>161</v>
      </c>
      <c r="C97" s="3">
        <v>4400</v>
      </c>
      <c r="D97" s="3">
        <v>-6</v>
      </c>
      <c r="E97" s="3">
        <v>4400</v>
      </c>
      <c r="F97" s="3">
        <v>0</v>
      </c>
      <c r="G97" s="3">
        <v>187</v>
      </c>
    </row>
    <row r="98" spans="1:7" x14ac:dyDescent="0.2">
      <c r="A98" s="3"/>
      <c r="B98" s="3" t="s">
        <v>162</v>
      </c>
      <c r="C98" s="3">
        <v>4400</v>
      </c>
      <c r="D98" s="3">
        <v>-8.5</v>
      </c>
      <c r="E98" s="3">
        <v>4400</v>
      </c>
      <c r="F98" s="3">
        <v>0</v>
      </c>
      <c r="G98" s="3">
        <v>0</v>
      </c>
    </row>
    <row r="99" spans="1:7" x14ac:dyDescent="0.2">
      <c r="A99" s="3"/>
      <c r="B99" s="3" t="s">
        <v>163</v>
      </c>
      <c r="C99" s="3">
        <v>4400</v>
      </c>
      <c r="D99" s="3">
        <v>-10.5</v>
      </c>
      <c r="E99" s="3">
        <v>4400</v>
      </c>
      <c r="F99" s="3">
        <v>0</v>
      </c>
      <c r="G99" s="3">
        <v>0</v>
      </c>
    </row>
    <row r="100" spans="1:7" x14ac:dyDescent="0.2">
      <c r="A100" s="3"/>
      <c r="B100" s="3" t="s">
        <v>164</v>
      </c>
      <c r="C100" s="3">
        <v>4400</v>
      </c>
      <c r="D100" s="3">
        <v>-12.5</v>
      </c>
      <c r="E100" s="3">
        <v>4400</v>
      </c>
      <c r="F100" s="3">
        <v>0</v>
      </c>
      <c r="G100" s="3">
        <v>0</v>
      </c>
    </row>
    <row r="101" spans="1:7" x14ac:dyDescent="0.2">
      <c r="A101" s="3"/>
      <c r="B101" s="3" t="s">
        <v>165</v>
      </c>
      <c r="C101" s="3">
        <v>4400</v>
      </c>
      <c r="D101" s="3">
        <v>-14.5</v>
      </c>
      <c r="E101" s="3">
        <v>4400</v>
      </c>
      <c r="F101" s="3">
        <v>0</v>
      </c>
      <c r="G101" s="3">
        <v>0</v>
      </c>
    </row>
    <row r="102" spans="1:7" x14ac:dyDescent="0.2">
      <c r="A102" s="3"/>
      <c r="B102" s="3" t="s">
        <v>166</v>
      </c>
      <c r="C102" s="3">
        <v>4000</v>
      </c>
      <c r="D102" s="3">
        <v>0</v>
      </c>
      <c r="E102" s="3">
        <v>0</v>
      </c>
      <c r="F102" s="3">
        <v>0</v>
      </c>
      <c r="G102" s="3">
        <v>1E+30</v>
      </c>
    </row>
    <row r="103" spans="1:7" x14ac:dyDescent="0.2">
      <c r="A103" s="3"/>
      <c r="B103" s="3" t="s">
        <v>38</v>
      </c>
      <c r="C103" s="3">
        <v>3064</v>
      </c>
      <c r="D103" s="3">
        <v>0</v>
      </c>
      <c r="E103" s="3">
        <v>0</v>
      </c>
      <c r="F103" s="3">
        <v>-936</v>
      </c>
      <c r="G103" s="3">
        <v>1E+30</v>
      </c>
    </row>
    <row r="104" spans="1:7" x14ac:dyDescent="0.2">
      <c r="A104" s="3"/>
      <c r="B104" s="3" t="s">
        <v>39</v>
      </c>
      <c r="C104" s="3">
        <v>2006</v>
      </c>
      <c r="D104" s="3">
        <v>0</v>
      </c>
      <c r="E104" s="3">
        <v>0</v>
      </c>
      <c r="F104" s="3">
        <v>-1994</v>
      </c>
      <c r="G104" s="3">
        <v>1E+30</v>
      </c>
    </row>
    <row r="105" spans="1:7" x14ac:dyDescent="0.2">
      <c r="A105" s="3"/>
      <c r="B105" s="3" t="s">
        <v>40</v>
      </c>
      <c r="C105" s="3">
        <v>187</v>
      </c>
      <c r="D105" s="3">
        <v>0</v>
      </c>
      <c r="E105" s="3">
        <v>0</v>
      </c>
      <c r="F105" s="3">
        <v>-3813</v>
      </c>
      <c r="G105" s="3">
        <v>1E+30</v>
      </c>
    </row>
    <row r="106" spans="1:7" x14ac:dyDescent="0.2">
      <c r="A106" s="3"/>
      <c r="B106" s="3" t="s">
        <v>41</v>
      </c>
      <c r="C106" s="3">
        <v>0</v>
      </c>
      <c r="D106" s="3">
        <v>0</v>
      </c>
      <c r="E106" s="3">
        <v>0</v>
      </c>
      <c r="F106" s="3">
        <v>-4000</v>
      </c>
      <c r="G106" s="3">
        <v>1E+30</v>
      </c>
    </row>
    <row r="107" spans="1:7" x14ac:dyDescent="0.2">
      <c r="A107" s="3"/>
      <c r="B107" s="3" t="s">
        <v>42</v>
      </c>
      <c r="C107" s="3">
        <v>0</v>
      </c>
      <c r="D107" s="3">
        <v>2</v>
      </c>
      <c r="E107" s="3">
        <v>0</v>
      </c>
      <c r="F107" s="3">
        <v>-3813</v>
      </c>
      <c r="G107" s="3">
        <v>4000</v>
      </c>
    </row>
    <row r="108" spans="1:7" x14ac:dyDescent="0.2">
      <c r="A108" s="3"/>
      <c r="B108" s="3" t="s">
        <v>167</v>
      </c>
      <c r="C108" s="3">
        <v>0</v>
      </c>
      <c r="D108" s="3">
        <v>1</v>
      </c>
      <c r="E108" s="3">
        <v>0</v>
      </c>
      <c r="F108" s="3">
        <v>-4000</v>
      </c>
      <c r="G108" s="3">
        <v>4000</v>
      </c>
    </row>
    <row r="109" spans="1:7" x14ac:dyDescent="0.2">
      <c r="A109" s="3"/>
      <c r="B109" s="3" t="s">
        <v>71</v>
      </c>
      <c r="C109" s="3">
        <v>0</v>
      </c>
      <c r="D109" s="3">
        <v>0.5</v>
      </c>
      <c r="E109" s="3">
        <v>0</v>
      </c>
      <c r="F109" s="3">
        <v>-4000</v>
      </c>
      <c r="G109" s="3">
        <v>4000</v>
      </c>
    </row>
    <row r="110" spans="1:7" x14ac:dyDescent="0.2">
      <c r="A110" s="3"/>
      <c r="B110" s="3" t="s">
        <v>80</v>
      </c>
      <c r="C110" s="3">
        <v>0</v>
      </c>
      <c r="D110" s="3">
        <v>0</v>
      </c>
      <c r="E110" s="3">
        <v>0</v>
      </c>
      <c r="F110" s="3">
        <v>-4000</v>
      </c>
      <c r="G110" s="3">
        <v>1E+30</v>
      </c>
    </row>
    <row r="111" spans="1:7" x14ac:dyDescent="0.2">
      <c r="A111" s="3"/>
      <c r="B111" s="3" t="s">
        <v>168</v>
      </c>
      <c r="C111" s="3">
        <v>0</v>
      </c>
      <c r="D111" s="3">
        <v>0</v>
      </c>
      <c r="E111" s="3">
        <v>0</v>
      </c>
      <c r="F111" s="3">
        <v>-4000</v>
      </c>
      <c r="G111" s="3">
        <v>1E+30</v>
      </c>
    </row>
    <row r="112" spans="1:7" x14ac:dyDescent="0.2">
      <c r="A112" s="3"/>
      <c r="B112" s="3" t="s">
        <v>169</v>
      </c>
      <c r="C112" s="3">
        <v>0</v>
      </c>
      <c r="D112" s="3">
        <v>0</v>
      </c>
      <c r="E112" s="3">
        <v>0</v>
      </c>
      <c r="F112" s="3">
        <v>-4000</v>
      </c>
      <c r="G112" s="3">
        <v>1E+30</v>
      </c>
    </row>
    <row r="113" spans="1:7" x14ac:dyDescent="0.2">
      <c r="A113" s="3"/>
      <c r="B113" s="3" t="s">
        <v>170</v>
      </c>
      <c r="C113" s="3">
        <v>0</v>
      </c>
      <c r="D113" s="3">
        <v>4.5</v>
      </c>
      <c r="E113" s="3">
        <v>0</v>
      </c>
      <c r="F113" s="3">
        <v>-4000</v>
      </c>
      <c r="G113" s="3">
        <v>4000</v>
      </c>
    </row>
    <row r="114" spans="1:7" x14ac:dyDescent="0.2">
      <c r="A114" s="3"/>
      <c r="B114" s="3" t="s">
        <v>171</v>
      </c>
      <c r="C114" s="3">
        <v>1000</v>
      </c>
      <c r="D114" s="3">
        <v>0</v>
      </c>
      <c r="E114" s="3">
        <v>0</v>
      </c>
      <c r="F114" s="3">
        <v>0</v>
      </c>
      <c r="G114" s="3">
        <v>1E+30</v>
      </c>
    </row>
    <row r="115" spans="1:7" x14ac:dyDescent="0.2">
      <c r="A115" s="3"/>
      <c r="B115" s="3" t="s">
        <v>43</v>
      </c>
      <c r="C115" s="3">
        <v>64</v>
      </c>
      <c r="D115" s="3">
        <v>0</v>
      </c>
      <c r="E115" s="3">
        <v>0</v>
      </c>
      <c r="F115" s="3">
        <v>-936</v>
      </c>
      <c r="G115" s="3">
        <v>1E+30</v>
      </c>
    </row>
    <row r="116" spans="1:7" x14ac:dyDescent="0.2">
      <c r="A116" s="3"/>
      <c r="B116" s="3" t="s">
        <v>44</v>
      </c>
      <c r="C116" s="3">
        <v>0</v>
      </c>
      <c r="D116" s="3">
        <v>1.5</v>
      </c>
      <c r="E116" s="3">
        <v>0</v>
      </c>
      <c r="F116" s="3">
        <v>1719</v>
      </c>
      <c r="G116" s="3">
        <v>1994</v>
      </c>
    </row>
    <row r="117" spans="1:7" x14ac:dyDescent="0.2">
      <c r="A117" s="3"/>
      <c r="B117" s="3" t="s">
        <v>45</v>
      </c>
      <c r="C117" s="3">
        <v>900</v>
      </c>
      <c r="D117" s="3">
        <v>0</v>
      </c>
      <c r="E117" s="3">
        <v>0</v>
      </c>
      <c r="F117" s="3">
        <v>-100</v>
      </c>
      <c r="G117" s="3">
        <v>1E+30</v>
      </c>
    </row>
    <row r="118" spans="1:7" x14ac:dyDescent="0.2">
      <c r="A118" s="3"/>
      <c r="B118" s="3" t="s">
        <v>46</v>
      </c>
      <c r="C118" s="3">
        <v>600</v>
      </c>
      <c r="D118" s="3">
        <v>0</v>
      </c>
      <c r="E118" s="3">
        <v>0</v>
      </c>
      <c r="F118" s="3">
        <v>-400</v>
      </c>
      <c r="G118" s="3">
        <v>1E+30</v>
      </c>
    </row>
    <row r="119" spans="1:7" x14ac:dyDescent="0.2">
      <c r="A119" s="3"/>
      <c r="B119" s="3" t="s">
        <v>47</v>
      </c>
      <c r="C119" s="3">
        <v>300</v>
      </c>
      <c r="D119" s="3">
        <v>0</v>
      </c>
      <c r="E119" s="3">
        <v>0</v>
      </c>
      <c r="F119" s="3">
        <v>-700</v>
      </c>
      <c r="G119" s="3">
        <v>1E+30</v>
      </c>
    </row>
    <row r="120" spans="1:7" x14ac:dyDescent="0.2">
      <c r="A120" s="3"/>
      <c r="B120" s="3" t="s">
        <v>172</v>
      </c>
      <c r="C120" s="3">
        <v>0</v>
      </c>
      <c r="D120" s="3">
        <v>1</v>
      </c>
      <c r="E120" s="3">
        <v>0</v>
      </c>
      <c r="F120" s="3">
        <v>-700</v>
      </c>
      <c r="G120" s="3">
        <v>1300</v>
      </c>
    </row>
    <row r="121" spans="1:7" x14ac:dyDescent="0.2">
      <c r="A121" s="3"/>
      <c r="B121" s="3" t="s">
        <v>72</v>
      </c>
      <c r="C121" s="3">
        <v>0</v>
      </c>
      <c r="D121" s="3">
        <v>1.5</v>
      </c>
      <c r="E121" s="3">
        <v>0</v>
      </c>
      <c r="F121" s="3">
        <v>-700</v>
      </c>
      <c r="G121" s="3">
        <v>1300</v>
      </c>
    </row>
    <row r="122" spans="1:7" x14ac:dyDescent="0.2">
      <c r="A122" s="3"/>
      <c r="B122" s="3" t="s">
        <v>81</v>
      </c>
      <c r="C122" s="3">
        <v>0</v>
      </c>
      <c r="D122" s="3">
        <v>1.5</v>
      </c>
      <c r="E122" s="3">
        <v>0</v>
      </c>
      <c r="F122" s="3">
        <v>-700</v>
      </c>
      <c r="G122" s="3">
        <v>1300</v>
      </c>
    </row>
    <row r="123" spans="1:7" x14ac:dyDescent="0.2">
      <c r="A123" s="3"/>
      <c r="B123" s="3" t="s">
        <v>173</v>
      </c>
      <c r="C123" s="3">
        <v>0</v>
      </c>
      <c r="D123" s="3">
        <v>1.5</v>
      </c>
      <c r="E123" s="3">
        <v>0</v>
      </c>
      <c r="F123" s="3">
        <v>-700</v>
      </c>
      <c r="G123" s="3">
        <v>1300</v>
      </c>
    </row>
    <row r="124" spans="1:7" x14ac:dyDescent="0.2">
      <c r="A124" s="3"/>
      <c r="B124" s="3" t="s">
        <v>174</v>
      </c>
      <c r="C124" s="3">
        <v>0</v>
      </c>
      <c r="D124" s="3">
        <v>1.5</v>
      </c>
      <c r="E124" s="3">
        <v>0</v>
      </c>
      <c r="F124" s="3">
        <v>-700</v>
      </c>
      <c r="G124" s="3">
        <v>1300</v>
      </c>
    </row>
    <row r="125" spans="1:7" x14ac:dyDescent="0.2">
      <c r="A125" s="3"/>
      <c r="B125" s="3" t="s">
        <v>175</v>
      </c>
      <c r="C125" s="3">
        <v>0</v>
      </c>
      <c r="D125" s="3">
        <v>11.5</v>
      </c>
      <c r="E125" s="3">
        <v>0</v>
      </c>
      <c r="F125" s="3">
        <v>1E+30</v>
      </c>
      <c r="G125" s="3">
        <v>1300</v>
      </c>
    </row>
    <row r="126" spans="1:7" x14ac:dyDescent="0.2">
      <c r="A126" s="3"/>
      <c r="B126" s="3" t="s">
        <v>176</v>
      </c>
      <c r="C126" s="3">
        <v>694</v>
      </c>
      <c r="D126" s="3">
        <v>0</v>
      </c>
      <c r="E126" s="3">
        <v>0</v>
      </c>
      <c r="F126" s="3">
        <v>0</v>
      </c>
      <c r="G126" s="3">
        <v>1E+30</v>
      </c>
    </row>
    <row r="127" spans="1:7" x14ac:dyDescent="0.2">
      <c r="A127" s="3"/>
      <c r="B127" s="3" t="s">
        <v>48</v>
      </c>
      <c r="C127" s="3">
        <v>0</v>
      </c>
      <c r="D127" s="3">
        <v>0.5</v>
      </c>
      <c r="E127" s="3">
        <v>0</v>
      </c>
      <c r="F127" s="3">
        <v>1000</v>
      </c>
      <c r="G127" s="3">
        <v>0</v>
      </c>
    </row>
    <row r="128" spans="1:7" x14ac:dyDescent="0.2">
      <c r="A128" s="3"/>
      <c r="B128" s="3" t="s">
        <v>49</v>
      </c>
      <c r="C128" s="3">
        <v>0</v>
      </c>
      <c r="D128" s="3">
        <v>2</v>
      </c>
      <c r="E128" s="3">
        <v>0</v>
      </c>
      <c r="F128" s="3">
        <v>3813</v>
      </c>
      <c r="G128" s="3">
        <v>-1000</v>
      </c>
    </row>
    <row r="129" spans="1:7" x14ac:dyDescent="0.2">
      <c r="A129" s="3"/>
      <c r="B129" s="3" t="s">
        <v>50</v>
      </c>
      <c r="C129" s="3">
        <v>778</v>
      </c>
      <c r="D129" s="3">
        <v>0</v>
      </c>
      <c r="E129" s="3">
        <v>0</v>
      </c>
      <c r="F129" s="3">
        <v>3813</v>
      </c>
      <c r="G129" s="3">
        <v>1E+30</v>
      </c>
    </row>
    <row r="130" spans="1:7" x14ac:dyDescent="0.2">
      <c r="A130" s="3"/>
      <c r="B130" s="3" t="s">
        <v>51</v>
      </c>
      <c r="C130" s="3">
        <v>3357</v>
      </c>
      <c r="D130" s="3">
        <v>0</v>
      </c>
      <c r="E130" s="3">
        <v>0</v>
      </c>
      <c r="F130" s="3">
        <v>7691</v>
      </c>
      <c r="G130" s="3">
        <v>1E+30</v>
      </c>
    </row>
    <row r="131" spans="1:7" x14ac:dyDescent="0.2">
      <c r="A131" s="3"/>
      <c r="B131" s="3" t="s">
        <v>52</v>
      </c>
      <c r="C131" s="3">
        <v>5695</v>
      </c>
      <c r="D131" s="3">
        <v>0</v>
      </c>
      <c r="E131" s="3">
        <v>0</v>
      </c>
      <c r="F131" s="3">
        <v>10683</v>
      </c>
      <c r="G131" s="3">
        <v>1E+30</v>
      </c>
    </row>
    <row r="132" spans="1:7" x14ac:dyDescent="0.2">
      <c r="A132" s="3"/>
      <c r="B132" s="3" t="s">
        <v>177</v>
      </c>
      <c r="C132" s="3">
        <v>6556</v>
      </c>
      <c r="D132" s="3">
        <v>0</v>
      </c>
      <c r="E132" s="3">
        <v>0</v>
      </c>
      <c r="F132" s="3">
        <v>13253</v>
      </c>
      <c r="G132" s="3">
        <v>1E+30</v>
      </c>
    </row>
    <row r="133" spans="1:7" x14ac:dyDescent="0.2">
      <c r="A133" s="3"/>
      <c r="B133" s="3" t="s">
        <v>73</v>
      </c>
      <c r="C133" s="3">
        <v>6513</v>
      </c>
      <c r="D133" s="3">
        <v>0</v>
      </c>
      <c r="E133" s="3">
        <v>0</v>
      </c>
      <c r="F133" s="3">
        <v>15165</v>
      </c>
      <c r="G133" s="3">
        <v>1E+30</v>
      </c>
    </row>
    <row r="134" spans="1:7" x14ac:dyDescent="0.2">
      <c r="A134" s="3"/>
      <c r="B134" s="3" t="s">
        <v>82</v>
      </c>
      <c r="C134" s="3">
        <v>5499</v>
      </c>
      <c r="D134" s="3">
        <v>0</v>
      </c>
      <c r="E134" s="3">
        <v>0</v>
      </c>
      <c r="F134" s="3">
        <v>16540</v>
      </c>
      <c r="G134" s="3">
        <v>1E+30</v>
      </c>
    </row>
    <row r="135" spans="1:7" x14ac:dyDescent="0.2">
      <c r="A135" s="3"/>
      <c r="B135" s="3" t="s">
        <v>178</v>
      </c>
      <c r="C135" s="3">
        <v>3214</v>
      </c>
      <c r="D135" s="3">
        <v>0</v>
      </c>
      <c r="E135" s="3">
        <v>0</v>
      </c>
      <c r="F135" s="3">
        <v>17572</v>
      </c>
      <c r="G135" s="3">
        <v>1E+30</v>
      </c>
    </row>
    <row r="136" spans="1:7" x14ac:dyDescent="0.2">
      <c r="A136" s="3"/>
      <c r="B136" s="3" t="s">
        <v>179</v>
      </c>
      <c r="C136" s="3">
        <v>1441</v>
      </c>
      <c r="D136" s="3">
        <v>0</v>
      </c>
      <c r="E136" s="3">
        <v>0</v>
      </c>
      <c r="F136" s="3">
        <v>19418</v>
      </c>
      <c r="G136" s="3">
        <v>1E+30</v>
      </c>
    </row>
    <row r="137" spans="1:7" x14ac:dyDescent="0.2">
      <c r="A137" s="3"/>
      <c r="B137" s="3" t="s">
        <v>180</v>
      </c>
      <c r="C137" s="3">
        <v>0</v>
      </c>
      <c r="D137" s="3">
        <v>31</v>
      </c>
      <c r="E137" s="3">
        <v>0</v>
      </c>
      <c r="F137" s="3">
        <v>21359</v>
      </c>
      <c r="G137" s="3">
        <v>-20394</v>
      </c>
    </row>
    <row r="138" spans="1:7" x14ac:dyDescent="0.2">
      <c r="A138" s="3"/>
      <c r="B138" s="3" t="s">
        <v>181</v>
      </c>
      <c r="C138" s="3">
        <v>3330</v>
      </c>
      <c r="D138" s="3">
        <v>0</v>
      </c>
      <c r="E138" s="3">
        <v>0</v>
      </c>
      <c r="F138" s="3">
        <v>0</v>
      </c>
      <c r="G138" s="3">
        <v>1E+30</v>
      </c>
    </row>
    <row r="139" spans="1:7" x14ac:dyDescent="0.2">
      <c r="A139" s="3"/>
      <c r="B139" s="3" t="s">
        <v>53</v>
      </c>
      <c r="C139" s="3">
        <v>2525</v>
      </c>
      <c r="D139" s="3">
        <v>0</v>
      </c>
      <c r="E139" s="3">
        <v>0</v>
      </c>
      <c r="F139" s="3">
        <v>0</v>
      </c>
      <c r="G139" s="3">
        <v>1E+30</v>
      </c>
    </row>
    <row r="140" spans="1:7" x14ac:dyDescent="0.2">
      <c r="A140" s="3"/>
      <c r="B140" s="3" t="s">
        <v>54</v>
      </c>
      <c r="C140" s="3">
        <v>1823</v>
      </c>
      <c r="D140" s="3">
        <v>0</v>
      </c>
      <c r="E140" s="3">
        <v>0</v>
      </c>
      <c r="F140" s="3">
        <v>0</v>
      </c>
      <c r="G140" s="3">
        <v>1E+30</v>
      </c>
    </row>
    <row r="141" spans="1:7" x14ac:dyDescent="0.2">
      <c r="A141" s="3"/>
      <c r="B141" s="3" t="s">
        <v>55</v>
      </c>
      <c r="C141" s="3">
        <v>1055</v>
      </c>
      <c r="D141" s="3">
        <v>0</v>
      </c>
      <c r="E141" s="3">
        <v>0</v>
      </c>
      <c r="F141" s="3">
        <v>0</v>
      </c>
      <c r="G141" s="3">
        <v>1E+30</v>
      </c>
    </row>
    <row r="142" spans="1:7" x14ac:dyDescent="0.2">
      <c r="A142" s="3"/>
      <c r="B142" s="3" t="s">
        <v>56</v>
      </c>
      <c r="C142" s="3">
        <v>0</v>
      </c>
      <c r="D142" s="3">
        <v>0.5</v>
      </c>
      <c r="E142" s="3">
        <v>0</v>
      </c>
      <c r="F142" s="3">
        <v>1930</v>
      </c>
      <c r="G142" s="3">
        <v>0</v>
      </c>
    </row>
    <row r="143" spans="1:7" x14ac:dyDescent="0.2">
      <c r="A143" s="3"/>
      <c r="B143" s="3" t="s">
        <v>57</v>
      </c>
      <c r="C143" s="3">
        <v>0</v>
      </c>
      <c r="D143" s="3">
        <v>0.5</v>
      </c>
      <c r="E143" s="3">
        <v>0</v>
      </c>
      <c r="F143" s="3">
        <v>3760</v>
      </c>
      <c r="G143" s="3">
        <v>-522</v>
      </c>
    </row>
    <row r="144" spans="1:7" x14ac:dyDescent="0.2">
      <c r="A144" s="3"/>
      <c r="B144" s="3" t="s">
        <v>182</v>
      </c>
      <c r="C144" s="3">
        <v>0</v>
      </c>
      <c r="D144" s="3">
        <v>0.5</v>
      </c>
      <c r="E144" s="3">
        <v>0</v>
      </c>
      <c r="F144" s="3">
        <v>6248</v>
      </c>
      <c r="G144" s="3">
        <v>-1930</v>
      </c>
    </row>
    <row r="145" spans="1:7" x14ac:dyDescent="0.2">
      <c r="A145" s="3"/>
      <c r="B145" s="3" t="s">
        <v>74</v>
      </c>
      <c r="C145" s="3">
        <v>0</v>
      </c>
      <c r="D145" s="3">
        <v>0.5</v>
      </c>
      <c r="E145" s="3">
        <v>0</v>
      </c>
      <c r="F145" s="3">
        <v>8160</v>
      </c>
      <c r="G145" s="3">
        <v>-4873</v>
      </c>
    </row>
    <row r="146" spans="1:7" x14ac:dyDescent="0.2">
      <c r="A146" s="3"/>
      <c r="B146" s="3" t="s">
        <v>83</v>
      </c>
      <c r="C146" s="3">
        <v>0</v>
      </c>
      <c r="D146" s="3">
        <v>0.5</v>
      </c>
      <c r="E146" s="3">
        <v>0</v>
      </c>
      <c r="F146" s="3">
        <v>10648</v>
      </c>
      <c r="G146" s="3">
        <v>-8241</v>
      </c>
    </row>
    <row r="147" spans="1:7" x14ac:dyDescent="0.2">
      <c r="A147" s="3"/>
      <c r="B147" s="3" t="s">
        <v>183</v>
      </c>
      <c r="C147" s="3">
        <v>0</v>
      </c>
      <c r="D147" s="3">
        <v>0.5</v>
      </c>
      <c r="E147" s="3">
        <v>0</v>
      </c>
      <c r="F147" s="3">
        <v>13673</v>
      </c>
      <c r="G147" s="3">
        <v>-10795</v>
      </c>
    </row>
    <row r="148" spans="1:7" x14ac:dyDescent="0.2">
      <c r="A148" s="3"/>
      <c r="B148" s="3" t="s">
        <v>184</v>
      </c>
      <c r="C148" s="3">
        <v>0</v>
      </c>
      <c r="D148" s="3">
        <v>0.5</v>
      </c>
      <c r="E148" s="3">
        <v>0</v>
      </c>
      <c r="F148" s="3">
        <v>16636</v>
      </c>
      <c r="G148" s="3">
        <v>-13441</v>
      </c>
    </row>
    <row r="149" spans="1:7" x14ac:dyDescent="0.2">
      <c r="A149" s="3"/>
      <c r="B149" s="3" t="s">
        <v>185</v>
      </c>
      <c r="C149" s="3">
        <v>0</v>
      </c>
      <c r="D149" s="3">
        <v>31.5</v>
      </c>
      <c r="E149" s="3">
        <v>0</v>
      </c>
      <c r="F149" s="3">
        <v>18028</v>
      </c>
      <c r="G149" s="3">
        <v>-17063</v>
      </c>
    </row>
    <row r="150" spans="1:7" x14ac:dyDescent="0.2">
      <c r="A150" s="3"/>
      <c r="B150" s="3" t="s">
        <v>126</v>
      </c>
      <c r="C150" s="3">
        <v>-4100</v>
      </c>
      <c r="D150" s="3">
        <v>0</v>
      </c>
      <c r="E150" s="3">
        <v>0</v>
      </c>
      <c r="F150" s="3">
        <v>1E+30</v>
      </c>
      <c r="G150" s="3">
        <v>4100</v>
      </c>
    </row>
    <row r="151" spans="1:7" x14ac:dyDescent="0.2">
      <c r="A151" s="3"/>
      <c r="B151" s="3" t="s">
        <v>23</v>
      </c>
      <c r="C151" s="3">
        <v>-4100</v>
      </c>
      <c r="D151" s="3">
        <v>0</v>
      </c>
      <c r="E151" s="3">
        <v>0</v>
      </c>
      <c r="F151" s="3">
        <v>1E+30</v>
      </c>
      <c r="G151" s="3">
        <v>4100</v>
      </c>
    </row>
    <row r="152" spans="1:7" x14ac:dyDescent="0.2">
      <c r="A152" s="3"/>
      <c r="B152" s="3" t="s">
        <v>24</v>
      </c>
      <c r="C152" s="3">
        <v>-3106</v>
      </c>
      <c r="D152" s="3">
        <v>0</v>
      </c>
      <c r="E152" s="3">
        <v>0</v>
      </c>
      <c r="F152" s="3">
        <v>1E+30</v>
      </c>
      <c r="G152" s="3">
        <v>3106</v>
      </c>
    </row>
    <row r="153" spans="1:7" x14ac:dyDescent="0.2">
      <c r="A153" s="3"/>
      <c r="B153" s="3" t="s">
        <v>25</v>
      </c>
      <c r="C153" s="3">
        <v>-1381</v>
      </c>
      <c r="D153" s="3">
        <v>0</v>
      </c>
      <c r="E153" s="3">
        <v>0</v>
      </c>
      <c r="F153" s="3">
        <v>1E+30</v>
      </c>
      <c r="G153" s="3">
        <v>1381</v>
      </c>
    </row>
    <row r="154" spans="1:7" x14ac:dyDescent="0.2">
      <c r="A154" s="3"/>
      <c r="B154" s="3" t="s">
        <v>26</v>
      </c>
      <c r="C154" s="3">
        <v>0</v>
      </c>
      <c r="D154" s="3">
        <v>-1.5</v>
      </c>
      <c r="E154" s="3">
        <v>0</v>
      </c>
      <c r="F154" s="3">
        <v>187</v>
      </c>
      <c r="G154" s="3">
        <v>1381</v>
      </c>
    </row>
    <row r="155" spans="1:7" x14ac:dyDescent="0.2">
      <c r="A155" s="3"/>
      <c r="B155" s="3" t="s">
        <v>27</v>
      </c>
      <c r="C155" s="3">
        <v>0</v>
      </c>
      <c r="D155" s="3">
        <v>-2</v>
      </c>
      <c r="E155" s="3">
        <v>0</v>
      </c>
      <c r="F155" s="3">
        <v>187</v>
      </c>
      <c r="G155" s="3">
        <v>0</v>
      </c>
    </row>
    <row r="156" spans="1:7" x14ac:dyDescent="0.2">
      <c r="A156" s="3"/>
      <c r="B156" s="3" t="s">
        <v>127</v>
      </c>
      <c r="C156" s="3">
        <v>0</v>
      </c>
      <c r="D156" s="3">
        <v>-4.5</v>
      </c>
      <c r="E156" s="3">
        <v>0</v>
      </c>
      <c r="F156" s="3">
        <v>0</v>
      </c>
      <c r="G156" s="3">
        <v>1381</v>
      </c>
    </row>
    <row r="157" spans="1:7" x14ac:dyDescent="0.2">
      <c r="A157" s="3"/>
      <c r="B157" s="3" t="s">
        <v>68</v>
      </c>
      <c r="C157" s="3">
        <v>0</v>
      </c>
      <c r="D157" s="3">
        <v>-5</v>
      </c>
      <c r="E157" s="3">
        <v>0</v>
      </c>
      <c r="F157" s="3">
        <v>0</v>
      </c>
      <c r="G157" s="3">
        <v>4100</v>
      </c>
    </row>
    <row r="158" spans="1:7" x14ac:dyDescent="0.2">
      <c r="A158" s="3"/>
      <c r="B158" s="3" t="s">
        <v>77</v>
      </c>
      <c r="C158" s="3">
        <v>0</v>
      </c>
      <c r="D158" s="3">
        <v>-4.5</v>
      </c>
      <c r="E158" s="3">
        <v>0</v>
      </c>
      <c r="F158" s="3">
        <v>0</v>
      </c>
      <c r="G158" s="3">
        <v>0</v>
      </c>
    </row>
    <row r="159" spans="1:7" x14ac:dyDescent="0.2">
      <c r="A159" s="3"/>
      <c r="B159" s="3" t="s">
        <v>128</v>
      </c>
      <c r="C159" s="3">
        <v>0</v>
      </c>
      <c r="D159" s="3">
        <v>-3.5</v>
      </c>
      <c r="E159" s="3">
        <v>0</v>
      </c>
      <c r="F159" s="3">
        <v>0</v>
      </c>
      <c r="G159" s="3">
        <v>0</v>
      </c>
    </row>
    <row r="160" spans="1:7" x14ac:dyDescent="0.2">
      <c r="A160" s="3"/>
      <c r="B160" s="3" t="s">
        <v>129</v>
      </c>
      <c r="C160" s="3">
        <v>0</v>
      </c>
      <c r="D160" s="3">
        <v>-2.5</v>
      </c>
      <c r="E160" s="3">
        <v>0</v>
      </c>
      <c r="F160" s="3">
        <v>0</v>
      </c>
      <c r="G160" s="3">
        <v>0</v>
      </c>
    </row>
    <row r="161" spans="1:7" x14ac:dyDescent="0.2">
      <c r="A161" s="5"/>
      <c r="B161" s="5" t="s">
        <v>130</v>
      </c>
      <c r="C161" s="5">
        <v>0</v>
      </c>
      <c r="D161" s="5">
        <v>-1.5</v>
      </c>
      <c r="E161" s="5">
        <v>0</v>
      </c>
      <c r="F161" s="5">
        <v>0</v>
      </c>
      <c r="G161" s="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47767-242C-47AF-A368-91C4B36AC708}">
  <dimension ref="A1:G166"/>
  <sheetViews>
    <sheetView topLeftCell="A79" zoomScaleNormal="150" zoomScaleSheetLayoutView="100" workbookViewId="0">
      <selection activeCell="C26" sqref="C26"/>
    </sheetView>
  </sheetViews>
  <sheetFormatPr defaultRowHeight="15" x14ac:dyDescent="0.2"/>
  <cols>
    <col min="3" max="4" width="9.14453125" bestFit="1" customWidth="1"/>
  </cols>
  <sheetData>
    <row r="1" spans="1:4" x14ac:dyDescent="0.2">
      <c r="A1" s="2" t="s">
        <v>84</v>
      </c>
    </row>
    <row r="2" spans="1:4" x14ac:dyDescent="0.2">
      <c r="A2" s="2" t="s">
        <v>85</v>
      </c>
    </row>
    <row r="3" spans="1:4" x14ac:dyDescent="0.2">
      <c r="A3" s="2" t="s">
        <v>195</v>
      </c>
    </row>
    <row r="4" spans="1:4" x14ac:dyDescent="0.2">
      <c r="A4" s="2" t="s">
        <v>86</v>
      </c>
    </row>
    <row r="5" spans="1:4" x14ac:dyDescent="0.2">
      <c r="A5" s="2" t="s">
        <v>0</v>
      </c>
    </row>
    <row r="6" spans="1:4" x14ac:dyDescent="0.2">
      <c r="A6" s="2" t="s">
        <v>87</v>
      </c>
    </row>
    <row r="7" spans="1:4" x14ac:dyDescent="0.2">
      <c r="A7" s="2" t="s">
        <v>88</v>
      </c>
    </row>
    <row r="8" spans="1:4" x14ac:dyDescent="0.2">
      <c r="A8" s="2" t="s">
        <v>89</v>
      </c>
    </row>
    <row r="9" spans="1:4" x14ac:dyDescent="0.2">
      <c r="A9" s="2" t="s">
        <v>90</v>
      </c>
    </row>
    <row r="12" spans="1:4" x14ac:dyDescent="0.2">
      <c r="A12" s="7" t="s">
        <v>1</v>
      </c>
      <c r="B12" s="7"/>
      <c r="C12" s="7"/>
      <c r="D12" s="7"/>
    </row>
    <row r="13" spans="1:4" x14ac:dyDescent="0.2">
      <c r="A13" s="4"/>
      <c r="B13" s="4" t="s">
        <v>2</v>
      </c>
      <c r="C13" s="4" t="s">
        <v>3</v>
      </c>
      <c r="D13" s="4" t="s">
        <v>4</v>
      </c>
    </row>
    <row r="14" spans="1:4" x14ac:dyDescent="0.2">
      <c r="A14" s="5"/>
      <c r="B14" s="6" t="s">
        <v>196</v>
      </c>
      <c r="C14" s="5">
        <v>445424.5</v>
      </c>
      <c r="D14" s="5">
        <v>445424.5</v>
      </c>
    </row>
    <row r="17" spans="1:4" x14ac:dyDescent="0.2">
      <c r="A17" s="7" t="s">
        <v>5</v>
      </c>
      <c r="B17" s="7"/>
      <c r="C17" s="7"/>
      <c r="D17" s="7"/>
    </row>
    <row r="18" spans="1:4" x14ac:dyDescent="0.2">
      <c r="A18" s="4"/>
      <c r="B18" s="4" t="s">
        <v>2</v>
      </c>
      <c r="C18" s="4" t="s">
        <v>3</v>
      </c>
      <c r="D18" s="4" t="s">
        <v>4</v>
      </c>
    </row>
    <row r="19" spans="1:4" x14ac:dyDescent="0.2">
      <c r="A19" s="3"/>
      <c r="B19" s="3" t="s">
        <v>116</v>
      </c>
      <c r="C19" s="3">
        <v>0</v>
      </c>
      <c r="D19" s="3">
        <v>0</v>
      </c>
    </row>
    <row r="20" spans="1:4" x14ac:dyDescent="0.2">
      <c r="A20" s="3"/>
      <c r="B20" s="3" t="s">
        <v>13</v>
      </c>
      <c r="C20" s="3">
        <v>0</v>
      </c>
      <c r="D20" s="3">
        <v>0</v>
      </c>
    </row>
    <row r="21" spans="1:4" x14ac:dyDescent="0.2">
      <c r="A21" s="3"/>
      <c r="B21" s="3" t="s">
        <v>14</v>
      </c>
      <c r="C21" s="3">
        <v>0</v>
      </c>
      <c r="D21" s="3">
        <v>0</v>
      </c>
    </row>
    <row r="22" spans="1:4" x14ac:dyDescent="0.2">
      <c r="A22" s="3"/>
      <c r="B22" s="3" t="s">
        <v>15</v>
      </c>
      <c r="C22" s="3">
        <v>0</v>
      </c>
      <c r="D22" s="3">
        <v>0</v>
      </c>
    </row>
    <row r="23" spans="1:4" x14ac:dyDescent="0.2">
      <c r="A23" s="3"/>
      <c r="B23" s="3" t="s">
        <v>16</v>
      </c>
      <c r="C23" s="3">
        <v>4213</v>
      </c>
      <c r="D23" s="3">
        <v>4213</v>
      </c>
    </row>
    <row r="24" spans="1:4" x14ac:dyDescent="0.2">
      <c r="A24" s="3"/>
      <c r="B24" s="3" t="s">
        <v>17</v>
      </c>
      <c r="C24" s="3">
        <v>4400</v>
      </c>
      <c r="D24" s="3">
        <v>4400</v>
      </c>
    </row>
    <row r="25" spans="1:4" x14ac:dyDescent="0.2">
      <c r="A25" s="3"/>
      <c r="B25" s="3" t="s">
        <v>117</v>
      </c>
      <c r="C25" s="3">
        <v>4400</v>
      </c>
      <c r="D25" s="3">
        <v>4400</v>
      </c>
    </row>
    <row r="26" spans="1:4" x14ac:dyDescent="0.2">
      <c r="A26" s="3"/>
      <c r="B26" s="3" t="s">
        <v>66</v>
      </c>
      <c r="C26" s="3">
        <v>4400</v>
      </c>
      <c r="D26" s="3">
        <v>4400</v>
      </c>
    </row>
    <row r="27" spans="1:4" x14ac:dyDescent="0.2">
      <c r="A27" s="3"/>
      <c r="B27" s="3" t="s">
        <v>75</v>
      </c>
      <c r="C27" s="3">
        <v>4400</v>
      </c>
      <c r="D27" s="3">
        <v>4400</v>
      </c>
    </row>
    <row r="28" spans="1:4" x14ac:dyDescent="0.2">
      <c r="A28" s="3"/>
      <c r="B28" s="3" t="s">
        <v>118</v>
      </c>
      <c r="C28" s="3">
        <v>4400</v>
      </c>
      <c r="D28" s="3">
        <v>4400</v>
      </c>
    </row>
    <row r="29" spans="1:4" x14ac:dyDescent="0.2">
      <c r="A29" s="3"/>
      <c r="B29" s="3" t="s">
        <v>119</v>
      </c>
      <c r="C29" s="3">
        <v>4400</v>
      </c>
      <c r="D29" s="3">
        <v>4400</v>
      </c>
    </row>
    <row r="30" spans="1:4" x14ac:dyDescent="0.2">
      <c r="A30" s="3"/>
      <c r="B30" s="3" t="s">
        <v>120</v>
      </c>
      <c r="C30" s="3">
        <v>4400</v>
      </c>
      <c r="D30" s="3">
        <v>4400</v>
      </c>
    </row>
    <row r="31" spans="1:4" x14ac:dyDescent="0.2">
      <c r="A31" s="3"/>
      <c r="B31" s="3" t="s">
        <v>121</v>
      </c>
      <c r="C31" s="3">
        <v>0</v>
      </c>
      <c r="D31" s="3">
        <v>0</v>
      </c>
    </row>
    <row r="32" spans="1:4" x14ac:dyDescent="0.2">
      <c r="A32" s="3"/>
      <c r="B32" s="3" t="s">
        <v>18</v>
      </c>
      <c r="C32" s="3">
        <v>0</v>
      </c>
      <c r="D32" s="3">
        <v>0</v>
      </c>
    </row>
    <row r="33" spans="1:4" x14ac:dyDescent="0.2">
      <c r="A33" s="3"/>
      <c r="B33" s="3" t="s">
        <v>19</v>
      </c>
      <c r="C33" s="3">
        <v>0</v>
      </c>
      <c r="D33" s="3">
        <v>0</v>
      </c>
    </row>
    <row r="34" spans="1:4" x14ac:dyDescent="0.2">
      <c r="A34" s="3"/>
      <c r="B34" s="3" t="s">
        <v>20</v>
      </c>
      <c r="C34" s="3">
        <v>0</v>
      </c>
      <c r="D34" s="3">
        <v>0</v>
      </c>
    </row>
    <row r="35" spans="1:4" x14ac:dyDescent="0.2">
      <c r="A35" s="3"/>
      <c r="B35" s="3" t="s">
        <v>21</v>
      </c>
      <c r="C35" s="3">
        <v>0</v>
      </c>
      <c r="D35" s="3">
        <v>0</v>
      </c>
    </row>
    <row r="36" spans="1:4" x14ac:dyDescent="0.2">
      <c r="A36" s="3"/>
      <c r="B36" s="3" t="s">
        <v>22</v>
      </c>
      <c r="C36" s="3">
        <v>0</v>
      </c>
      <c r="D36" s="3">
        <v>0</v>
      </c>
    </row>
    <row r="37" spans="1:4" x14ac:dyDescent="0.2">
      <c r="A37" s="3"/>
      <c r="B37" s="3" t="s">
        <v>122</v>
      </c>
      <c r="C37" s="3">
        <v>0</v>
      </c>
      <c r="D37" s="3">
        <v>0</v>
      </c>
    </row>
    <row r="38" spans="1:4" x14ac:dyDescent="0.2">
      <c r="A38" s="3"/>
      <c r="B38" s="3" t="s">
        <v>67</v>
      </c>
      <c r="C38" s="3">
        <v>300</v>
      </c>
      <c r="D38" s="3">
        <v>300</v>
      </c>
    </row>
    <row r="39" spans="1:4" x14ac:dyDescent="0.2">
      <c r="A39" s="3"/>
      <c r="B39" s="3" t="s">
        <v>76</v>
      </c>
      <c r="C39" s="3">
        <v>300</v>
      </c>
      <c r="D39" s="3">
        <v>300</v>
      </c>
    </row>
    <row r="40" spans="1:4" x14ac:dyDescent="0.2">
      <c r="A40" s="3"/>
      <c r="B40" s="3" t="s">
        <v>123</v>
      </c>
      <c r="C40" s="3">
        <v>300</v>
      </c>
      <c r="D40" s="3">
        <v>300</v>
      </c>
    </row>
    <row r="41" spans="1:4" x14ac:dyDescent="0.2">
      <c r="A41" s="3"/>
      <c r="B41" s="3" t="s">
        <v>124</v>
      </c>
      <c r="C41" s="3">
        <v>300</v>
      </c>
      <c r="D41" s="3">
        <v>300</v>
      </c>
    </row>
    <row r="42" spans="1:4" x14ac:dyDescent="0.2">
      <c r="A42" s="3"/>
      <c r="B42" s="3" t="s">
        <v>125</v>
      </c>
      <c r="C42" s="3">
        <v>300</v>
      </c>
      <c r="D42" s="3">
        <v>300</v>
      </c>
    </row>
    <row r="43" spans="1:4" x14ac:dyDescent="0.2">
      <c r="A43" s="3"/>
      <c r="B43" s="3" t="s">
        <v>126</v>
      </c>
      <c r="C43" s="3">
        <v>0</v>
      </c>
      <c r="D43" s="3">
        <v>0</v>
      </c>
    </row>
    <row r="44" spans="1:4" x14ac:dyDescent="0.2">
      <c r="A44" s="3"/>
      <c r="B44" s="3" t="s">
        <v>23</v>
      </c>
      <c r="C44" s="3">
        <v>0</v>
      </c>
      <c r="D44" s="3">
        <v>0</v>
      </c>
    </row>
    <row r="45" spans="1:4" x14ac:dyDescent="0.2">
      <c r="A45" s="3"/>
      <c r="B45" s="3" t="s">
        <v>24</v>
      </c>
      <c r="C45" s="3">
        <v>994</v>
      </c>
      <c r="D45" s="3">
        <v>994</v>
      </c>
    </row>
    <row r="46" spans="1:4" x14ac:dyDescent="0.2">
      <c r="A46" s="3"/>
      <c r="B46" s="3" t="s">
        <v>25</v>
      </c>
      <c r="C46" s="3">
        <v>2719</v>
      </c>
      <c r="D46" s="3">
        <v>2719</v>
      </c>
    </row>
    <row r="47" spans="1:4" x14ac:dyDescent="0.2">
      <c r="A47" s="3"/>
      <c r="B47" s="3" t="s">
        <v>26</v>
      </c>
      <c r="C47" s="3">
        <v>4100</v>
      </c>
      <c r="D47" s="3">
        <v>4100</v>
      </c>
    </row>
    <row r="48" spans="1:4" x14ac:dyDescent="0.2">
      <c r="A48" s="3"/>
      <c r="B48" s="3" t="s">
        <v>27</v>
      </c>
      <c r="C48" s="3">
        <v>4100</v>
      </c>
      <c r="D48" s="3">
        <v>4100</v>
      </c>
    </row>
    <row r="49" spans="1:4" x14ac:dyDescent="0.2">
      <c r="A49" s="3"/>
      <c r="B49" s="3" t="s">
        <v>127</v>
      </c>
      <c r="C49" s="3">
        <v>4100</v>
      </c>
      <c r="D49" s="3">
        <v>4100</v>
      </c>
    </row>
    <row r="50" spans="1:4" x14ac:dyDescent="0.2">
      <c r="A50" s="3"/>
      <c r="B50" s="3" t="s">
        <v>68</v>
      </c>
      <c r="C50" s="3">
        <v>4100</v>
      </c>
      <c r="D50" s="3">
        <v>4100</v>
      </c>
    </row>
    <row r="51" spans="1:4" x14ac:dyDescent="0.2">
      <c r="A51" s="3"/>
      <c r="B51" s="3" t="s">
        <v>77</v>
      </c>
      <c r="C51" s="3">
        <v>4100</v>
      </c>
      <c r="D51" s="3">
        <v>4100</v>
      </c>
    </row>
    <row r="52" spans="1:4" x14ac:dyDescent="0.2">
      <c r="A52" s="3"/>
      <c r="B52" s="3" t="s">
        <v>128</v>
      </c>
      <c r="C52" s="3">
        <v>4100</v>
      </c>
      <c r="D52" s="3">
        <v>4100</v>
      </c>
    </row>
    <row r="53" spans="1:4" x14ac:dyDescent="0.2">
      <c r="A53" s="3"/>
      <c r="B53" s="3" t="s">
        <v>129</v>
      </c>
      <c r="C53" s="3">
        <v>4100</v>
      </c>
      <c r="D53" s="3">
        <v>4100</v>
      </c>
    </row>
    <row r="54" spans="1:4" x14ac:dyDescent="0.2">
      <c r="A54" s="3"/>
      <c r="B54" s="3" t="s">
        <v>130</v>
      </c>
      <c r="C54" s="3">
        <v>4100</v>
      </c>
      <c r="D54" s="3">
        <v>4100</v>
      </c>
    </row>
    <row r="55" spans="1:4" x14ac:dyDescent="0.2">
      <c r="A55" s="3"/>
      <c r="B55" s="3" t="s">
        <v>131</v>
      </c>
      <c r="C55" s="3">
        <v>0</v>
      </c>
      <c r="D55" s="3">
        <v>0</v>
      </c>
    </row>
    <row r="56" spans="1:4" x14ac:dyDescent="0.2">
      <c r="A56" s="3"/>
      <c r="B56" s="3" t="s">
        <v>28</v>
      </c>
      <c r="C56" s="3">
        <v>936</v>
      </c>
      <c r="D56" s="3">
        <v>936</v>
      </c>
    </row>
    <row r="57" spans="1:4" x14ac:dyDescent="0.2">
      <c r="A57" s="3"/>
      <c r="B57" s="3" t="s">
        <v>29</v>
      </c>
      <c r="C57" s="3">
        <v>1058</v>
      </c>
      <c r="D57" s="3">
        <v>1058</v>
      </c>
    </row>
    <row r="58" spans="1:4" x14ac:dyDescent="0.2">
      <c r="A58" s="3"/>
      <c r="B58" s="3" t="s">
        <v>30</v>
      </c>
      <c r="C58" s="3">
        <v>1819</v>
      </c>
      <c r="D58" s="3">
        <v>1819</v>
      </c>
    </row>
    <row r="59" spans="1:4" x14ac:dyDescent="0.2">
      <c r="A59" s="3"/>
      <c r="B59" s="3" t="s">
        <v>31</v>
      </c>
      <c r="C59" s="3">
        <v>3878</v>
      </c>
      <c r="D59" s="3">
        <v>3878</v>
      </c>
    </row>
    <row r="60" spans="1:4" x14ac:dyDescent="0.2">
      <c r="A60" s="3"/>
      <c r="B60" s="3" t="s">
        <v>32</v>
      </c>
      <c r="C60" s="3">
        <v>2992</v>
      </c>
      <c r="D60" s="3">
        <v>2992</v>
      </c>
    </row>
    <row r="61" spans="1:4" x14ac:dyDescent="0.2">
      <c r="A61" s="3"/>
      <c r="B61" s="3" t="s">
        <v>132</v>
      </c>
      <c r="C61" s="3">
        <v>2570</v>
      </c>
      <c r="D61" s="3">
        <v>2570</v>
      </c>
    </row>
    <row r="62" spans="1:4" x14ac:dyDescent="0.2">
      <c r="A62" s="3"/>
      <c r="B62" s="3" t="s">
        <v>69</v>
      </c>
      <c r="C62" s="3">
        <v>1912</v>
      </c>
      <c r="D62" s="3">
        <v>1912</v>
      </c>
    </row>
    <row r="63" spans="1:4" x14ac:dyDescent="0.2">
      <c r="A63" s="3"/>
      <c r="B63" s="3" t="s">
        <v>78</v>
      </c>
      <c r="C63" s="3">
        <v>1375</v>
      </c>
      <c r="D63" s="3">
        <v>1375</v>
      </c>
    </row>
    <row r="64" spans="1:4" x14ac:dyDescent="0.2">
      <c r="A64" s="3"/>
      <c r="B64" s="3" t="s">
        <v>133</v>
      </c>
      <c r="C64" s="3">
        <v>1032</v>
      </c>
      <c r="D64" s="3">
        <v>1032</v>
      </c>
    </row>
    <row r="65" spans="1:4" x14ac:dyDescent="0.2">
      <c r="A65" s="3"/>
      <c r="B65" s="3" t="s">
        <v>134</v>
      </c>
      <c r="C65" s="3">
        <v>1846</v>
      </c>
      <c r="D65" s="3">
        <v>1846</v>
      </c>
    </row>
    <row r="66" spans="1:4" x14ac:dyDescent="0.2">
      <c r="A66" s="3"/>
      <c r="B66" s="3" t="s">
        <v>135</v>
      </c>
      <c r="C66" s="3">
        <v>1754</v>
      </c>
      <c r="D66" s="3">
        <v>1754</v>
      </c>
    </row>
    <row r="67" spans="1:4" x14ac:dyDescent="0.2">
      <c r="A67" s="3"/>
      <c r="B67" s="3" t="s">
        <v>136</v>
      </c>
      <c r="C67" s="3">
        <v>0</v>
      </c>
      <c r="D67" s="3">
        <v>0</v>
      </c>
    </row>
    <row r="68" spans="1:4" x14ac:dyDescent="0.2">
      <c r="A68" s="3"/>
      <c r="B68" s="3" t="s">
        <v>33</v>
      </c>
      <c r="C68" s="3">
        <v>0</v>
      </c>
      <c r="D68" s="3">
        <v>0</v>
      </c>
    </row>
    <row r="69" spans="1:4" x14ac:dyDescent="0.2">
      <c r="A69" s="3"/>
      <c r="B69" s="3" t="s">
        <v>34</v>
      </c>
      <c r="C69" s="3">
        <v>0</v>
      </c>
      <c r="D69" s="3">
        <v>0</v>
      </c>
    </row>
    <row r="70" spans="1:4" x14ac:dyDescent="0.2">
      <c r="A70" s="3"/>
      <c r="B70" s="3" t="s">
        <v>35</v>
      </c>
      <c r="C70" s="3">
        <v>0</v>
      </c>
      <c r="D70" s="3">
        <v>0</v>
      </c>
    </row>
    <row r="71" spans="1:4" x14ac:dyDescent="0.2">
      <c r="A71" s="3"/>
      <c r="B71" s="3" t="s">
        <v>36</v>
      </c>
      <c r="C71" s="3">
        <v>522</v>
      </c>
      <c r="D71" s="3">
        <v>522</v>
      </c>
    </row>
    <row r="72" spans="1:4" x14ac:dyDescent="0.2">
      <c r="A72" s="3"/>
      <c r="B72" s="3" t="s">
        <v>37</v>
      </c>
      <c r="C72" s="3">
        <v>1408</v>
      </c>
      <c r="D72" s="3">
        <v>1408</v>
      </c>
    </row>
    <row r="73" spans="1:4" x14ac:dyDescent="0.2">
      <c r="A73" s="3"/>
      <c r="B73" s="3" t="s">
        <v>137</v>
      </c>
      <c r="C73" s="3">
        <v>1830</v>
      </c>
      <c r="D73" s="3">
        <v>1830</v>
      </c>
    </row>
    <row r="74" spans="1:4" x14ac:dyDescent="0.2">
      <c r="A74" s="3"/>
      <c r="B74" s="3" t="s">
        <v>70</v>
      </c>
      <c r="C74" s="3">
        <v>2488</v>
      </c>
      <c r="D74" s="3">
        <v>2488</v>
      </c>
    </row>
    <row r="75" spans="1:4" x14ac:dyDescent="0.2">
      <c r="A75" s="3"/>
      <c r="B75" s="3" t="s">
        <v>79</v>
      </c>
      <c r="C75" s="3">
        <v>3025</v>
      </c>
      <c r="D75" s="3">
        <v>3025</v>
      </c>
    </row>
    <row r="76" spans="1:4" x14ac:dyDescent="0.2">
      <c r="A76" s="3"/>
      <c r="B76" s="3" t="s">
        <v>138</v>
      </c>
      <c r="C76" s="3">
        <v>3368</v>
      </c>
      <c r="D76" s="3">
        <v>3368</v>
      </c>
    </row>
    <row r="77" spans="1:4" x14ac:dyDescent="0.2">
      <c r="A77" s="3"/>
      <c r="B77" s="3" t="s">
        <v>139</v>
      </c>
      <c r="C77" s="3">
        <v>2554</v>
      </c>
      <c r="D77" s="3">
        <v>2554</v>
      </c>
    </row>
    <row r="78" spans="1:4" x14ac:dyDescent="0.2">
      <c r="A78" s="3"/>
      <c r="B78" s="3" t="s">
        <v>140</v>
      </c>
      <c r="C78" s="3">
        <v>2646</v>
      </c>
      <c r="D78" s="3">
        <v>2646</v>
      </c>
    </row>
    <row r="79" spans="1:4" x14ac:dyDescent="0.2">
      <c r="A79" s="5"/>
      <c r="B79" s="5" t="s">
        <v>141</v>
      </c>
      <c r="C79" s="5">
        <v>4100</v>
      </c>
      <c r="D79" s="5">
        <v>4100</v>
      </c>
    </row>
    <row r="81" spans="1:7" x14ac:dyDescent="0.2">
      <c r="A81" s="7" t="s">
        <v>58</v>
      </c>
      <c r="B81" s="7"/>
      <c r="C81" s="7"/>
      <c r="D81" s="7"/>
      <c r="E81" s="7"/>
      <c r="F81" s="7"/>
      <c r="G81" s="7"/>
    </row>
    <row r="82" spans="1:7" x14ac:dyDescent="0.2">
      <c r="A82" s="4"/>
      <c r="B82" s="4" t="s">
        <v>2</v>
      </c>
      <c r="C82" s="4" t="s">
        <v>3</v>
      </c>
      <c r="D82" s="4" t="s">
        <v>4</v>
      </c>
      <c r="E82" s="4" t="s">
        <v>91</v>
      </c>
      <c r="F82" s="4" t="s">
        <v>92</v>
      </c>
      <c r="G82" s="4" t="s">
        <v>93</v>
      </c>
    </row>
    <row r="83" spans="1:7" x14ac:dyDescent="0.2">
      <c r="A83" s="3"/>
      <c r="B83" s="3" t="s">
        <v>142</v>
      </c>
      <c r="C83" s="3">
        <v>0</v>
      </c>
      <c r="D83" s="3">
        <v>0</v>
      </c>
      <c r="E83" s="3">
        <v>-1E+30</v>
      </c>
      <c r="F83" s="3">
        <v>8500</v>
      </c>
      <c r="G83" s="3">
        <v>8500</v>
      </c>
    </row>
    <row r="84" spans="1:7" x14ac:dyDescent="0.2">
      <c r="A84" s="3"/>
      <c r="B84" s="3" t="s">
        <v>143</v>
      </c>
      <c r="C84" s="3">
        <v>0</v>
      </c>
      <c r="D84" s="3">
        <v>0</v>
      </c>
      <c r="E84" s="3">
        <v>-1E+30</v>
      </c>
      <c r="F84" s="3">
        <v>8500</v>
      </c>
      <c r="G84" s="3">
        <v>8500</v>
      </c>
    </row>
    <row r="85" spans="1:7" x14ac:dyDescent="0.2">
      <c r="A85" s="3"/>
      <c r="B85" s="3" t="s">
        <v>144</v>
      </c>
      <c r="C85" s="3">
        <v>994</v>
      </c>
      <c r="D85" s="3">
        <v>994</v>
      </c>
      <c r="E85" s="3">
        <v>-1E+30</v>
      </c>
      <c r="F85" s="3">
        <v>8500</v>
      </c>
      <c r="G85" s="3">
        <v>7506</v>
      </c>
    </row>
    <row r="86" spans="1:7" x14ac:dyDescent="0.2">
      <c r="A86" s="3"/>
      <c r="B86" s="3" t="s">
        <v>145</v>
      </c>
      <c r="C86" s="3">
        <v>2719</v>
      </c>
      <c r="D86" s="3">
        <v>2719</v>
      </c>
      <c r="E86" s="3">
        <v>-1E+30</v>
      </c>
      <c r="F86" s="3">
        <v>8500</v>
      </c>
      <c r="G86" s="3">
        <v>5781</v>
      </c>
    </row>
    <row r="87" spans="1:7" x14ac:dyDescent="0.2">
      <c r="A87" s="3"/>
      <c r="B87" s="3" t="s">
        <v>146</v>
      </c>
      <c r="C87" s="3">
        <v>8313</v>
      </c>
      <c r="D87" s="3">
        <v>8313</v>
      </c>
      <c r="E87" s="3">
        <v>-1E+30</v>
      </c>
      <c r="F87" s="3">
        <v>8500</v>
      </c>
      <c r="G87" s="3">
        <v>187</v>
      </c>
    </row>
    <row r="88" spans="1:7" x14ac:dyDescent="0.2">
      <c r="A88" s="3"/>
      <c r="B88" s="3" t="s">
        <v>147</v>
      </c>
      <c r="C88" s="3">
        <v>8500</v>
      </c>
      <c r="D88" s="3">
        <v>8500</v>
      </c>
      <c r="E88" s="3">
        <v>-1E+30</v>
      </c>
      <c r="F88" s="3">
        <v>8500</v>
      </c>
      <c r="G88" s="3">
        <v>0</v>
      </c>
    </row>
    <row r="89" spans="1:7" x14ac:dyDescent="0.2">
      <c r="A89" s="3"/>
      <c r="B89" s="3" t="s">
        <v>148</v>
      </c>
      <c r="C89" s="3">
        <v>8500</v>
      </c>
      <c r="D89" s="3">
        <v>8500</v>
      </c>
      <c r="E89" s="3">
        <v>-1E+30</v>
      </c>
      <c r="F89" s="3">
        <v>8500</v>
      </c>
      <c r="G89" s="3">
        <v>0</v>
      </c>
    </row>
    <row r="90" spans="1:7" x14ac:dyDescent="0.2">
      <c r="A90" s="3"/>
      <c r="B90" s="3" t="s">
        <v>149</v>
      </c>
      <c r="C90" s="3">
        <v>8500</v>
      </c>
      <c r="D90" s="3">
        <v>8500</v>
      </c>
      <c r="E90" s="3">
        <v>-1E+30</v>
      </c>
      <c r="F90" s="3">
        <v>8500</v>
      </c>
      <c r="G90" s="3">
        <v>0</v>
      </c>
    </row>
    <row r="91" spans="1:7" x14ac:dyDescent="0.2">
      <c r="A91" s="3"/>
      <c r="B91" s="3" t="s">
        <v>150</v>
      </c>
      <c r="C91" s="3">
        <v>8500</v>
      </c>
      <c r="D91" s="3">
        <v>8500</v>
      </c>
      <c r="E91" s="3">
        <v>-1E+30</v>
      </c>
      <c r="F91" s="3">
        <v>8500</v>
      </c>
      <c r="G91" s="3">
        <v>0</v>
      </c>
    </row>
    <row r="92" spans="1:7" x14ac:dyDescent="0.2">
      <c r="A92" s="3"/>
      <c r="B92" s="3" t="s">
        <v>151</v>
      </c>
      <c r="C92" s="3">
        <v>8500</v>
      </c>
      <c r="D92" s="3">
        <v>8500</v>
      </c>
      <c r="E92" s="3">
        <v>-1E+30</v>
      </c>
      <c r="F92" s="3">
        <v>8500</v>
      </c>
      <c r="G92" s="3">
        <v>0</v>
      </c>
    </row>
    <row r="93" spans="1:7" x14ac:dyDescent="0.2">
      <c r="A93" s="3"/>
      <c r="B93" s="3" t="s">
        <v>152</v>
      </c>
      <c r="C93" s="3">
        <v>8500</v>
      </c>
      <c r="D93" s="3">
        <v>8500</v>
      </c>
      <c r="E93" s="3">
        <v>-1E+30</v>
      </c>
      <c r="F93" s="3">
        <v>8500</v>
      </c>
      <c r="G93" s="3">
        <v>0</v>
      </c>
    </row>
    <row r="94" spans="1:7" x14ac:dyDescent="0.2">
      <c r="A94" s="3"/>
      <c r="B94" s="3" t="s">
        <v>153</v>
      </c>
      <c r="C94" s="3">
        <v>8500</v>
      </c>
      <c r="D94" s="3">
        <v>8500</v>
      </c>
      <c r="E94" s="3">
        <v>-1E+30</v>
      </c>
      <c r="F94" s="3">
        <v>8500</v>
      </c>
      <c r="G94" s="3">
        <v>0</v>
      </c>
    </row>
    <row r="95" spans="1:7" x14ac:dyDescent="0.2">
      <c r="A95" s="3"/>
      <c r="B95" s="3" t="s">
        <v>154</v>
      </c>
      <c r="C95" s="3">
        <v>0</v>
      </c>
      <c r="D95" s="3">
        <v>0</v>
      </c>
      <c r="E95" s="3">
        <v>-1E+30</v>
      </c>
      <c r="F95" s="3">
        <v>4400</v>
      </c>
      <c r="G95" s="3">
        <v>4400</v>
      </c>
    </row>
    <row r="96" spans="1:7" x14ac:dyDescent="0.2">
      <c r="A96" s="3"/>
      <c r="B96" s="3" t="s">
        <v>155</v>
      </c>
      <c r="C96" s="3">
        <v>936</v>
      </c>
      <c r="D96" s="3">
        <v>936</v>
      </c>
      <c r="E96" s="3">
        <v>-1E+30</v>
      </c>
      <c r="F96" s="3">
        <v>4400</v>
      </c>
      <c r="G96" s="3">
        <v>3464</v>
      </c>
    </row>
    <row r="97" spans="1:7" x14ac:dyDescent="0.2">
      <c r="A97" s="3"/>
      <c r="B97" s="3" t="s">
        <v>156</v>
      </c>
      <c r="C97" s="3">
        <v>1058</v>
      </c>
      <c r="D97" s="3">
        <v>1058</v>
      </c>
      <c r="E97" s="3">
        <v>-1E+30</v>
      </c>
      <c r="F97" s="3">
        <v>4400</v>
      </c>
      <c r="G97" s="3">
        <v>3342</v>
      </c>
    </row>
    <row r="98" spans="1:7" x14ac:dyDescent="0.2">
      <c r="A98" s="3"/>
      <c r="B98" s="3" t="s">
        <v>157</v>
      </c>
      <c r="C98" s="3">
        <v>1819</v>
      </c>
      <c r="D98" s="3">
        <v>1819</v>
      </c>
      <c r="E98" s="3">
        <v>-1E+30</v>
      </c>
      <c r="F98" s="3">
        <v>4400</v>
      </c>
      <c r="G98" s="3">
        <v>2581</v>
      </c>
    </row>
    <row r="99" spans="1:7" x14ac:dyDescent="0.2">
      <c r="A99" s="3"/>
      <c r="B99" s="3" t="s">
        <v>158</v>
      </c>
      <c r="C99" s="3">
        <v>4400</v>
      </c>
      <c r="D99" s="3">
        <v>4400</v>
      </c>
      <c r="E99" s="3">
        <v>-1E+30</v>
      </c>
      <c r="F99" s="3">
        <v>4400</v>
      </c>
      <c r="G99" s="3">
        <v>0</v>
      </c>
    </row>
    <row r="100" spans="1:7" x14ac:dyDescent="0.2">
      <c r="A100" s="3"/>
      <c r="B100" s="3" t="s">
        <v>159</v>
      </c>
      <c r="C100" s="3">
        <v>4400</v>
      </c>
      <c r="D100" s="3">
        <v>4400</v>
      </c>
      <c r="E100" s="3">
        <v>-1E+30</v>
      </c>
      <c r="F100" s="3">
        <v>4400</v>
      </c>
      <c r="G100" s="3">
        <v>0</v>
      </c>
    </row>
    <row r="101" spans="1:7" x14ac:dyDescent="0.2">
      <c r="A101" s="3"/>
      <c r="B101" s="3" t="s">
        <v>160</v>
      </c>
      <c r="C101" s="3">
        <v>4400</v>
      </c>
      <c r="D101" s="3">
        <v>4400</v>
      </c>
      <c r="E101" s="3">
        <v>-1E+30</v>
      </c>
      <c r="F101" s="3">
        <v>4400</v>
      </c>
      <c r="G101" s="3">
        <v>0</v>
      </c>
    </row>
    <row r="102" spans="1:7" x14ac:dyDescent="0.2">
      <c r="A102" s="3"/>
      <c r="B102" s="3" t="s">
        <v>161</v>
      </c>
      <c r="C102" s="3">
        <v>4400</v>
      </c>
      <c r="D102" s="3">
        <v>4400</v>
      </c>
      <c r="E102" s="3">
        <v>-1E+30</v>
      </c>
      <c r="F102" s="3">
        <v>4400</v>
      </c>
      <c r="G102" s="3">
        <v>0</v>
      </c>
    </row>
    <row r="103" spans="1:7" x14ac:dyDescent="0.2">
      <c r="A103" s="3"/>
      <c r="B103" s="3" t="s">
        <v>162</v>
      </c>
      <c r="C103" s="3">
        <v>4400</v>
      </c>
      <c r="D103" s="3">
        <v>4400</v>
      </c>
      <c r="E103" s="3">
        <v>-1E+30</v>
      </c>
      <c r="F103" s="3">
        <v>4400</v>
      </c>
      <c r="G103" s="3">
        <v>0</v>
      </c>
    </row>
    <row r="104" spans="1:7" x14ac:dyDescent="0.2">
      <c r="A104" s="3"/>
      <c r="B104" s="3" t="s">
        <v>163</v>
      </c>
      <c r="C104" s="3">
        <v>4400</v>
      </c>
      <c r="D104" s="3">
        <v>4400</v>
      </c>
      <c r="E104" s="3">
        <v>-1E+30</v>
      </c>
      <c r="F104" s="3">
        <v>4400</v>
      </c>
      <c r="G104" s="3">
        <v>0</v>
      </c>
    </row>
    <row r="105" spans="1:7" x14ac:dyDescent="0.2">
      <c r="A105" s="3"/>
      <c r="B105" s="3" t="s">
        <v>164</v>
      </c>
      <c r="C105" s="3">
        <v>4400</v>
      </c>
      <c r="D105" s="3">
        <v>4400</v>
      </c>
      <c r="E105" s="3">
        <v>-1E+30</v>
      </c>
      <c r="F105" s="3">
        <v>4400</v>
      </c>
      <c r="G105" s="3">
        <v>0</v>
      </c>
    </row>
    <row r="106" spans="1:7" x14ac:dyDescent="0.2">
      <c r="A106" s="3"/>
      <c r="B106" s="3" t="s">
        <v>165</v>
      </c>
      <c r="C106" s="3">
        <v>4400</v>
      </c>
      <c r="D106" s="3">
        <v>4400</v>
      </c>
      <c r="E106" s="3">
        <v>-1E+30</v>
      </c>
      <c r="F106" s="3">
        <v>4400</v>
      </c>
      <c r="G106" s="3">
        <v>0</v>
      </c>
    </row>
    <row r="107" spans="1:7" x14ac:dyDescent="0.2">
      <c r="A107" s="3"/>
      <c r="B107" s="3" t="s">
        <v>166</v>
      </c>
      <c r="C107" s="3">
        <v>4000</v>
      </c>
      <c r="D107" s="3">
        <v>4000</v>
      </c>
      <c r="E107" s="3">
        <v>0</v>
      </c>
      <c r="F107" s="3">
        <v>1E+30</v>
      </c>
      <c r="G107" s="3">
        <v>-4000</v>
      </c>
    </row>
    <row r="108" spans="1:7" x14ac:dyDescent="0.2">
      <c r="A108" s="3"/>
      <c r="B108" s="3" t="s">
        <v>38</v>
      </c>
      <c r="C108" s="3">
        <v>3064</v>
      </c>
      <c r="D108" s="3">
        <v>3064</v>
      </c>
      <c r="E108" s="3">
        <v>0</v>
      </c>
      <c r="F108" s="3">
        <v>1E+30</v>
      </c>
      <c r="G108" s="3">
        <v>-3064</v>
      </c>
    </row>
    <row r="109" spans="1:7" x14ac:dyDescent="0.2">
      <c r="A109" s="3"/>
      <c r="B109" s="3" t="s">
        <v>39</v>
      </c>
      <c r="C109" s="3">
        <v>2006</v>
      </c>
      <c r="D109" s="3">
        <v>2006</v>
      </c>
      <c r="E109" s="3">
        <v>0</v>
      </c>
      <c r="F109" s="3">
        <v>1E+30</v>
      </c>
      <c r="G109" s="3">
        <v>-2006</v>
      </c>
    </row>
    <row r="110" spans="1:7" x14ac:dyDescent="0.2">
      <c r="A110" s="3"/>
      <c r="B110" s="3" t="s">
        <v>40</v>
      </c>
      <c r="C110" s="3">
        <v>187</v>
      </c>
      <c r="D110" s="3">
        <v>187</v>
      </c>
      <c r="E110" s="3">
        <v>0</v>
      </c>
      <c r="F110" s="3">
        <v>1E+30</v>
      </c>
      <c r="G110" s="3">
        <v>-187</v>
      </c>
    </row>
    <row r="111" spans="1:7" x14ac:dyDescent="0.2">
      <c r="A111" s="3"/>
      <c r="B111" s="3" t="s">
        <v>41</v>
      </c>
      <c r="C111" s="3">
        <v>0</v>
      </c>
      <c r="D111" s="3">
        <v>0</v>
      </c>
      <c r="E111" s="3">
        <v>0</v>
      </c>
      <c r="F111" s="3">
        <v>1E+30</v>
      </c>
      <c r="G111" s="3">
        <v>0</v>
      </c>
    </row>
    <row r="112" spans="1:7" x14ac:dyDescent="0.2">
      <c r="A112" s="3"/>
      <c r="B112" s="3" t="s">
        <v>42</v>
      </c>
      <c r="C112" s="3">
        <v>0</v>
      </c>
      <c r="D112" s="3">
        <v>0</v>
      </c>
      <c r="E112" s="3">
        <v>0</v>
      </c>
      <c r="F112" s="3">
        <v>1E+30</v>
      </c>
      <c r="G112" s="3">
        <v>0</v>
      </c>
    </row>
    <row r="113" spans="1:7" x14ac:dyDescent="0.2">
      <c r="A113" s="3"/>
      <c r="B113" s="3" t="s">
        <v>167</v>
      </c>
      <c r="C113" s="3">
        <v>0</v>
      </c>
      <c r="D113" s="3">
        <v>0</v>
      </c>
      <c r="E113" s="3">
        <v>0</v>
      </c>
      <c r="F113" s="3">
        <v>1E+30</v>
      </c>
      <c r="G113" s="3">
        <v>0</v>
      </c>
    </row>
    <row r="114" spans="1:7" x14ac:dyDescent="0.2">
      <c r="A114" s="3"/>
      <c r="B114" s="3" t="s">
        <v>71</v>
      </c>
      <c r="C114" s="3">
        <v>0</v>
      </c>
      <c r="D114" s="3">
        <v>0</v>
      </c>
      <c r="E114" s="3">
        <v>0</v>
      </c>
      <c r="F114" s="3">
        <v>1E+30</v>
      </c>
      <c r="G114" s="3">
        <v>0</v>
      </c>
    </row>
    <row r="115" spans="1:7" x14ac:dyDescent="0.2">
      <c r="A115" s="3"/>
      <c r="B115" s="3" t="s">
        <v>80</v>
      </c>
      <c r="C115" s="3">
        <v>0</v>
      </c>
      <c r="D115" s="3">
        <v>0</v>
      </c>
      <c r="E115" s="3">
        <v>0</v>
      </c>
      <c r="F115" s="3">
        <v>1E+30</v>
      </c>
      <c r="G115" s="3">
        <v>0</v>
      </c>
    </row>
    <row r="116" spans="1:7" x14ac:dyDescent="0.2">
      <c r="A116" s="3"/>
      <c r="B116" s="3" t="s">
        <v>168</v>
      </c>
      <c r="C116" s="3">
        <v>0</v>
      </c>
      <c r="D116" s="3">
        <v>0</v>
      </c>
      <c r="E116" s="3">
        <v>0</v>
      </c>
      <c r="F116" s="3">
        <v>1E+30</v>
      </c>
      <c r="G116" s="3">
        <v>0</v>
      </c>
    </row>
    <row r="117" spans="1:7" x14ac:dyDescent="0.2">
      <c r="A117" s="3"/>
      <c r="B117" s="3" t="s">
        <v>169</v>
      </c>
      <c r="C117" s="3">
        <v>0</v>
      </c>
      <c r="D117" s="3">
        <v>0</v>
      </c>
      <c r="E117" s="3">
        <v>0</v>
      </c>
      <c r="F117" s="3">
        <v>1E+30</v>
      </c>
      <c r="G117" s="3">
        <v>0</v>
      </c>
    </row>
    <row r="118" spans="1:7" x14ac:dyDescent="0.2">
      <c r="A118" s="3"/>
      <c r="B118" s="3" t="s">
        <v>170</v>
      </c>
      <c r="C118" s="3">
        <v>0</v>
      </c>
      <c r="D118" s="3">
        <v>0</v>
      </c>
      <c r="E118" s="3">
        <v>0</v>
      </c>
      <c r="F118" s="3">
        <v>1E+30</v>
      </c>
      <c r="G118" s="3">
        <v>0</v>
      </c>
    </row>
    <row r="119" spans="1:7" x14ac:dyDescent="0.2">
      <c r="A119" s="3"/>
      <c r="B119" s="3" t="s">
        <v>171</v>
      </c>
      <c r="C119" s="3">
        <v>1000</v>
      </c>
      <c r="D119" s="3">
        <v>1000</v>
      </c>
      <c r="E119" s="3">
        <v>0</v>
      </c>
      <c r="F119" s="3">
        <v>1E+30</v>
      </c>
      <c r="G119" s="3">
        <v>-1000</v>
      </c>
    </row>
    <row r="120" spans="1:7" x14ac:dyDescent="0.2">
      <c r="A120" s="3"/>
      <c r="B120" s="3" t="s">
        <v>43</v>
      </c>
      <c r="C120" s="3">
        <v>64</v>
      </c>
      <c r="D120" s="3">
        <v>64</v>
      </c>
      <c r="E120" s="3">
        <v>0</v>
      </c>
      <c r="F120" s="3">
        <v>1E+30</v>
      </c>
      <c r="G120" s="3">
        <v>-64</v>
      </c>
    </row>
    <row r="121" spans="1:7" x14ac:dyDescent="0.2">
      <c r="A121" s="3"/>
      <c r="B121" s="3" t="s">
        <v>44</v>
      </c>
      <c r="C121" s="3">
        <v>0</v>
      </c>
      <c r="D121" s="3">
        <v>0</v>
      </c>
      <c r="E121" s="3">
        <v>0</v>
      </c>
      <c r="F121" s="3">
        <v>1E+30</v>
      </c>
      <c r="G121" s="3">
        <v>0</v>
      </c>
    </row>
    <row r="122" spans="1:7" x14ac:dyDescent="0.2">
      <c r="A122" s="3"/>
      <c r="B122" s="3" t="s">
        <v>45</v>
      </c>
      <c r="C122" s="3">
        <v>900</v>
      </c>
      <c r="D122" s="3">
        <v>900</v>
      </c>
      <c r="E122" s="3">
        <v>0</v>
      </c>
      <c r="F122" s="3">
        <v>1E+30</v>
      </c>
      <c r="G122" s="3">
        <v>-900</v>
      </c>
    </row>
    <row r="123" spans="1:7" x14ac:dyDescent="0.2">
      <c r="A123" s="3"/>
      <c r="B123" s="3" t="s">
        <v>46</v>
      </c>
      <c r="C123" s="3">
        <v>600</v>
      </c>
      <c r="D123" s="3">
        <v>600</v>
      </c>
      <c r="E123" s="3">
        <v>0</v>
      </c>
      <c r="F123" s="3">
        <v>1E+30</v>
      </c>
      <c r="G123" s="3">
        <v>-600</v>
      </c>
    </row>
    <row r="124" spans="1:7" x14ac:dyDescent="0.2">
      <c r="A124" s="3"/>
      <c r="B124" s="3" t="s">
        <v>47</v>
      </c>
      <c r="C124" s="3">
        <v>300</v>
      </c>
      <c r="D124" s="3">
        <v>300</v>
      </c>
      <c r="E124" s="3">
        <v>0</v>
      </c>
      <c r="F124" s="3">
        <v>1E+30</v>
      </c>
      <c r="G124" s="3">
        <v>-300</v>
      </c>
    </row>
    <row r="125" spans="1:7" x14ac:dyDescent="0.2">
      <c r="A125" s="3"/>
      <c r="B125" s="3" t="s">
        <v>172</v>
      </c>
      <c r="C125" s="3">
        <v>0</v>
      </c>
      <c r="D125" s="3">
        <v>0</v>
      </c>
      <c r="E125" s="3">
        <v>0</v>
      </c>
      <c r="F125" s="3">
        <v>1E+30</v>
      </c>
      <c r="G125" s="3">
        <v>0</v>
      </c>
    </row>
    <row r="126" spans="1:7" x14ac:dyDescent="0.2">
      <c r="A126" s="3"/>
      <c r="B126" s="3" t="s">
        <v>72</v>
      </c>
      <c r="C126" s="3">
        <v>0</v>
      </c>
      <c r="D126" s="3">
        <v>0</v>
      </c>
      <c r="E126" s="3">
        <v>0</v>
      </c>
      <c r="F126" s="3">
        <v>1E+30</v>
      </c>
      <c r="G126" s="3">
        <v>0</v>
      </c>
    </row>
    <row r="127" spans="1:7" x14ac:dyDescent="0.2">
      <c r="A127" s="3"/>
      <c r="B127" s="3" t="s">
        <v>81</v>
      </c>
      <c r="C127" s="3">
        <v>0</v>
      </c>
      <c r="D127" s="3">
        <v>0</v>
      </c>
      <c r="E127" s="3">
        <v>0</v>
      </c>
      <c r="F127" s="3">
        <v>1E+30</v>
      </c>
      <c r="G127" s="3">
        <v>0</v>
      </c>
    </row>
    <row r="128" spans="1:7" x14ac:dyDescent="0.2">
      <c r="A128" s="3"/>
      <c r="B128" s="3" t="s">
        <v>173</v>
      </c>
      <c r="C128" s="3">
        <v>0</v>
      </c>
      <c r="D128" s="3">
        <v>0</v>
      </c>
      <c r="E128" s="3">
        <v>0</v>
      </c>
      <c r="F128" s="3">
        <v>1E+30</v>
      </c>
      <c r="G128" s="3">
        <v>0</v>
      </c>
    </row>
    <row r="129" spans="1:7" x14ac:dyDescent="0.2">
      <c r="A129" s="3"/>
      <c r="B129" s="3" t="s">
        <v>174</v>
      </c>
      <c r="C129" s="3">
        <v>0</v>
      </c>
      <c r="D129" s="3">
        <v>0</v>
      </c>
      <c r="E129" s="3">
        <v>0</v>
      </c>
      <c r="F129" s="3">
        <v>1E+30</v>
      </c>
      <c r="G129" s="3">
        <v>0</v>
      </c>
    </row>
    <row r="130" spans="1:7" x14ac:dyDescent="0.2">
      <c r="A130" s="3"/>
      <c r="B130" s="3" t="s">
        <v>175</v>
      </c>
      <c r="C130" s="3">
        <v>0</v>
      </c>
      <c r="D130" s="3">
        <v>0</v>
      </c>
      <c r="E130" s="3">
        <v>0</v>
      </c>
      <c r="F130" s="3">
        <v>1E+30</v>
      </c>
      <c r="G130" s="3">
        <v>0</v>
      </c>
    </row>
    <row r="131" spans="1:7" x14ac:dyDescent="0.2">
      <c r="A131" s="3"/>
      <c r="B131" s="3" t="s">
        <v>176</v>
      </c>
      <c r="C131" s="3">
        <v>694</v>
      </c>
      <c r="D131" s="3">
        <v>694</v>
      </c>
      <c r="E131" s="3">
        <v>0</v>
      </c>
      <c r="F131" s="3">
        <v>1E+30</v>
      </c>
      <c r="G131" s="3">
        <v>-694</v>
      </c>
    </row>
    <row r="132" spans="1:7" x14ac:dyDescent="0.2">
      <c r="A132" s="3"/>
      <c r="B132" s="3" t="s">
        <v>48</v>
      </c>
      <c r="C132" s="3">
        <v>0</v>
      </c>
      <c r="D132" s="3">
        <v>0</v>
      </c>
      <c r="E132" s="3">
        <v>0</v>
      </c>
      <c r="F132" s="3">
        <v>1E+30</v>
      </c>
      <c r="G132" s="3">
        <v>0</v>
      </c>
    </row>
    <row r="133" spans="1:7" x14ac:dyDescent="0.2">
      <c r="A133" s="3"/>
      <c r="B133" s="3" t="s">
        <v>49</v>
      </c>
      <c r="C133" s="3">
        <v>0</v>
      </c>
      <c r="D133" s="3">
        <v>0</v>
      </c>
      <c r="E133" s="3">
        <v>0</v>
      </c>
      <c r="F133" s="3">
        <v>1E+30</v>
      </c>
      <c r="G133" s="3">
        <v>0</v>
      </c>
    </row>
    <row r="134" spans="1:7" x14ac:dyDescent="0.2">
      <c r="A134" s="3"/>
      <c r="B134" s="3" t="s">
        <v>50</v>
      </c>
      <c r="C134" s="3">
        <v>778</v>
      </c>
      <c r="D134" s="3">
        <v>778</v>
      </c>
      <c r="E134" s="3">
        <v>0</v>
      </c>
      <c r="F134" s="3">
        <v>1E+30</v>
      </c>
      <c r="G134" s="3">
        <v>-778</v>
      </c>
    </row>
    <row r="135" spans="1:7" x14ac:dyDescent="0.2">
      <c r="A135" s="3"/>
      <c r="B135" s="3" t="s">
        <v>51</v>
      </c>
      <c r="C135" s="3">
        <v>3357</v>
      </c>
      <c r="D135" s="3">
        <v>3357</v>
      </c>
      <c r="E135" s="3">
        <v>0</v>
      </c>
      <c r="F135" s="3">
        <v>1E+30</v>
      </c>
      <c r="G135" s="3">
        <v>-3357</v>
      </c>
    </row>
    <row r="136" spans="1:7" x14ac:dyDescent="0.2">
      <c r="A136" s="3"/>
      <c r="B136" s="3" t="s">
        <v>52</v>
      </c>
      <c r="C136" s="3">
        <v>5695</v>
      </c>
      <c r="D136" s="3">
        <v>5695</v>
      </c>
      <c r="E136" s="3">
        <v>0</v>
      </c>
      <c r="F136" s="3">
        <v>1E+30</v>
      </c>
      <c r="G136" s="3">
        <v>-5695</v>
      </c>
    </row>
    <row r="137" spans="1:7" x14ac:dyDescent="0.2">
      <c r="A137" s="3"/>
      <c r="B137" s="3" t="s">
        <v>177</v>
      </c>
      <c r="C137" s="3">
        <v>6556</v>
      </c>
      <c r="D137" s="3">
        <v>6556</v>
      </c>
      <c r="E137" s="3">
        <v>0</v>
      </c>
      <c r="F137" s="3">
        <v>1E+30</v>
      </c>
      <c r="G137" s="3">
        <v>-6556</v>
      </c>
    </row>
    <row r="138" spans="1:7" x14ac:dyDescent="0.2">
      <c r="A138" s="3"/>
      <c r="B138" s="3" t="s">
        <v>73</v>
      </c>
      <c r="C138" s="3">
        <v>6513</v>
      </c>
      <c r="D138" s="3">
        <v>6513</v>
      </c>
      <c r="E138" s="3">
        <v>0</v>
      </c>
      <c r="F138" s="3">
        <v>1E+30</v>
      </c>
      <c r="G138" s="3">
        <v>-6513</v>
      </c>
    </row>
    <row r="139" spans="1:7" x14ac:dyDescent="0.2">
      <c r="A139" s="3"/>
      <c r="B139" s="3" t="s">
        <v>82</v>
      </c>
      <c r="C139" s="3">
        <v>5499</v>
      </c>
      <c r="D139" s="3">
        <v>5499</v>
      </c>
      <c r="E139" s="3">
        <v>0</v>
      </c>
      <c r="F139" s="3">
        <v>1E+30</v>
      </c>
      <c r="G139" s="3">
        <v>-5499</v>
      </c>
    </row>
    <row r="140" spans="1:7" x14ac:dyDescent="0.2">
      <c r="A140" s="3"/>
      <c r="B140" s="3" t="s">
        <v>178</v>
      </c>
      <c r="C140" s="3">
        <v>3214</v>
      </c>
      <c r="D140" s="3">
        <v>3214</v>
      </c>
      <c r="E140" s="3">
        <v>0</v>
      </c>
      <c r="F140" s="3">
        <v>1E+30</v>
      </c>
      <c r="G140" s="3">
        <v>-3214</v>
      </c>
    </row>
    <row r="141" spans="1:7" x14ac:dyDescent="0.2">
      <c r="A141" s="3"/>
      <c r="B141" s="3" t="s">
        <v>179</v>
      </c>
      <c r="C141" s="3">
        <v>1441</v>
      </c>
      <c r="D141" s="3">
        <v>1441</v>
      </c>
      <c r="E141" s="3">
        <v>0</v>
      </c>
      <c r="F141" s="3">
        <v>1E+30</v>
      </c>
      <c r="G141" s="3">
        <v>-1441</v>
      </c>
    </row>
    <row r="142" spans="1:7" x14ac:dyDescent="0.2">
      <c r="A142" s="3"/>
      <c r="B142" s="3" t="s">
        <v>180</v>
      </c>
      <c r="C142" s="3">
        <v>0</v>
      </c>
      <c r="D142" s="3">
        <v>0</v>
      </c>
      <c r="E142" s="3">
        <v>0</v>
      </c>
      <c r="F142" s="3">
        <v>1E+30</v>
      </c>
      <c r="G142" s="3">
        <v>0</v>
      </c>
    </row>
    <row r="143" spans="1:7" x14ac:dyDescent="0.2">
      <c r="A143" s="3"/>
      <c r="B143" s="3" t="s">
        <v>181</v>
      </c>
      <c r="C143" s="3">
        <v>3330</v>
      </c>
      <c r="D143" s="3">
        <v>3330</v>
      </c>
      <c r="E143" s="3">
        <v>0</v>
      </c>
      <c r="F143" s="3">
        <v>1E+30</v>
      </c>
      <c r="G143" s="3">
        <v>-3330</v>
      </c>
    </row>
    <row r="144" spans="1:7" x14ac:dyDescent="0.2">
      <c r="A144" s="3"/>
      <c r="B144" s="3" t="s">
        <v>53</v>
      </c>
      <c r="C144" s="3">
        <v>2525</v>
      </c>
      <c r="D144" s="3">
        <v>2525</v>
      </c>
      <c r="E144" s="3">
        <v>0</v>
      </c>
      <c r="F144" s="3">
        <v>1E+30</v>
      </c>
      <c r="G144" s="3">
        <v>-2525</v>
      </c>
    </row>
    <row r="145" spans="1:7" x14ac:dyDescent="0.2">
      <c r="A145" s="3"/>
      <c r="B145" s="3" t="s">
        <v>54</v>
      </c>
      <c r="C145" s="3">
        <v>1823</v>
      </c>
      <c r="D145" s="3">
        <v>1823</v>
      </c>
      <c r="E145" s="3">
        <v>0</v>
      </c>
      <c r="F145" s="3">
        <v>1E+30</v>
      </c>
      <c r="G145" s="3">
        <v>-1823</v>
      </c>
    </row>
    <row r="146" spans="1:7" x14ac:dyDescent="0.2">
      <c r="A146" s="3"/>
      <c r="B146" s="3" t="s">
        <v>55</v>
      </c>
      <c r="C146" s="3">
        <v>1055</v>
      </c>
      <c r="D146" s="3">
        <v>1055</v>
      </c>
      <c r="E146" s="3">
        <v>0</v>
      </c>
      <c r="F146" s="3">
        <v>1E+30</v>
      </c>
      <c r="G146" s="3">
        <v>-1055</v>
      </c>
    </row>
    <row r="147" spans="1:7" x14ac:dyDescent="0.2">
      <c r="A147" s="3"/>
      <c r="B147" s="3" t="s">
        <v>56</v>
      </c>
      <c r="C147" s="3">
        <v>0</v>
      </c>
      <c r="D147" s="3">
        <v>0</v>
      </c>
      <c r="E147" s="3">
        <v>0</v>
      </c>
      <c r="F147" s="3">
        <v>1E+30</v>
      </c>
      <c r="G147" s="3">
        <v>0</v>
      </c>
    </row>
    <row r="148" spans="1:7" x14ac:dyDescent="0.2">
      <c r="A148" s="3"/>
      <c r="B148" s="3" t="s">
        <v>57</v>
      </c>
      <c r="C148" s="3">
        <v>0</v>
      </c>
      <c r="D148" s="3">
        <v>0</v>
      </c>
      <c r="E148" s="3">
        <v>0</v>
      </c>
      <c r="F148" s="3">
        <v>1E+30</v>
      </c>
      <c r="G148" s="3">
        <v>0</v>
      </c>
    </row>
    <row r="149" spans="1:7" x14ac:dyDescent="0.2">
      <c r="A149" s="3"/>
      <c r="B149" s="3" t="s">
        <v>182</v>
      </c>
      <c r="C149" s="3">
        <v>0</v>
      </c>
      <c r="D149" s="3">
        <v>0</v>
      </c>
      <c r="E149" s="3">
        <v>0</v>
      </c>
      <c r="F149" s="3">
        <v>1E+30</v>
      </c>
      <c r="G149" s="3">
        <v>0</v>
      </c>
    </row>
    <row r="150" spans="1:7" x14ac:dyDescent="0.2">
      <c r="A150" s="3"/>
      <c r="B150" s="3" t="s">
        <v>74</v>
      </c>
      <c r="C150" s="3">
        <v>0</v>
      </c>
      <c r="D150" s="3">
        <v>0</v>
      </c>
      <c r="E150" s="3">
        <v>0</v>
      </c>
      <c r="F150" s="3">
        <v>1E+30</v>
      </c>
      <c r="G150" s="3">
        <v>0</v>
      </c>
    </row>
    <row r="151" spans="1:7" x14ac:dyDescent="0.2">
      <c r="A151" s="3"/>
      <c r="B151" s="3" t="s">
        <v>83</v>
      </c>
      <c r="C151" s="3">
        <v>0</v>
      </c>
      <c r="D151" s="3">
        <v>0</v>
      </c>
      <c r="E151" s="3">
        <v>0</v>
      </c>
      <c r="F151" s="3">
        <v>1E+30</v>
      </c>
      <c r="G151" s="3">
        <v>0</v>
      </c>
    </row>
    <row r="152" spans="1:7" x14ac:dyDescent="0.2">
      <c r="A152" s="3"/>
      <c r="B152" s="3" t="s">
        <v>183</v>
      </c>
      <c r="C152" s="3">
        <v>0</v>
      </c>
      <c r="D152" s="3">
        <v>0</v>
      </c>
      <c r="E152" s="3">
        <v>0</v>
      </c>
      <c r="F152" s="3">
        <v>1E+30</v>
      </c>
      <c r="G152" s="3">
        <v>0</v>
      </c>
    </row>
    <row r="153" spans="1:7" x14ac:dyDescent="0.2">
      <c r="A153" s="3"/>
      <c r="B153" s="3" t="s">
        <v>184</v>
      </c>
      <c r="C153" s="3">
        <v>0</v>
      </c>
      <c r="D153" s="3">
        <v>0</v>
      </c>
      <c r="E153" s="3">
        <v>0</v>
      </c>
      <c r="F153" s="3">
        <v>1E+30</v>
      </c>
      <c r="G153" s="3">
        <v>0</v>
      </c>
    </row>
    <row r="154" spans="1:7" x14ac:dyDescent="0.2">
      <c r="A154" s="3"/>
      <c r="B154" s="3" t="s">
        <v>185</v>
      </c>
      <c r="C154" s="3">
        <v>0</v>
      </c>
      <c r="D154" s="3">
        <v>0</v>
      </c>
      <c r="E154" s="3">
        <v>0</v>
      </c>
      <c r="F154" s="3">
        <v>1E+30</v>
      </c>
      <c r="G154" s="3">
        <v>0</v>
      </c>
    </row>
    <row r="155" spans="1:7" x14ac:dyDescent="0.2">
      <c r="A155" s="3"/>
      <c r="B155" s="3" t="s">
        <v>126</v>
      </c>
      <c r="C155" s="3">
        <v>-4100</v>
      </c>
      <c r="D155" s="3">
        <v>-4100</v>
      </c>
      <c r="E155" s="3">
        <v>-1E+30</v>
      </c>
      <c r="F155" s="3">
        <v>0</v>
      </c>
      <c r="G155" s="3">
        <v>4100</v>
      </c>
    </row>
    <row r="156" spans="1:7" x14ac:dyDescent="0.2">
      <c r="A156" s="3"/>
      <c r="B156" s="3" t="s">
        <v>23</v>
      </c>
      <c r="C156" s="3">
        <v>-4100</v>
      </c>
      <c r="D156" s="3">
        <v>-4100</v>
      </c>
      <c r="E156" s="3">
        <v>-1E+30</v>
      </c>
      <c r="F156" s="3">
        <v>0</v>
      </c>
      <c r="G156" s="3">
        <v>4100</v>
      </c>
    </row>
    <row r="157" spans="1:7" x14ac:dyDescent="0.2">
      <c r="A157" s="3"/>
      <c r="B157" s="3" t="s">
        <v>24</v>
      </c>
      <c r="C157" s="3">
        <v>-3106</v>
      </c>
      <c r="D157" s="3">
        <v>-3106</v>
      </c>
      <c r="E157" s="3">
        <v>-1E+30</v>
      </c>
      <c r="F157" s="3">
        <v>0</v>
      </c>
      <c r="G157" s="3">
        <v>3106</v>
      </c>
    </row>
    <row r="158" spans="1:7" x14ac:dyDescent="0.2">
      <c r="A158" s="3"/>
      <c r="B158" s="3" t="s">
        <v>25</v>
      </c>
      <c r="C158" s="3">
        <v>-1381</v>
      </c>
      <c r="D158" s="3">
        <v>-1381</v>
      </c>
      <c r="E158" s="3">
        <v>-1E+30</v>
      </c>
      <c r="F158" s="3">
        <v>0</v>
      </c>
      <c r="G158" s="3">
        <v>1381</v>
      </c>
    </row>
    <row r="159" spans="1:7" x14ac:dyDescent="0.2">
      <c r="A159" s="3"/>
      <c r="B159" s="3" t="s">
        <v>26</v>
      </c>
      <c r="C159" s="3">
        <v>0</v>
      </c>
      <c r="D159" s="3">
        <v>0</v>
      </c>
      <c r="E159" s="3">
        <v>-1E+30</v>
      </c>
      <c r="F159" s="3">
        <v>0</v>
      </c>
      <c r="G159" s="3">
        <v>0</v>
      </c>
    </row>
    <row r="160" spans="1:7" x14ac:dyDescent="0.2">
      <c r="A160" s="3"/>
      <c r="B160" s="3" t="s">
        <v>27</v>
      </c>
      <c r="C160" s="3">
        <v>0</v>
      </c>
      <c r="D160" s="3">
        <v>0</v>
      </c>
      <c r="E160" s="3">
        <v>-1E+30</v>
      </c>
      <c r="F160" s="3">
        <v>0</v>
      </c>
      <c r="G160" s="3">
        <v>0</v>
      </c>
    </row>
    <row r="161" spans="1:7" x14ac:dyDescent="0.2">
      <c r="A161" s="3"/>
      <c r="B161" s="3" t="s">
        <v>127</v>
      </c>
      <c r="C161" s="3">
        <v>0</v>
      </c>
      <c r="D161" s="3">
        <v>0</v>
      </c>
      <c r="E161" s="3">
        <v>-1E+30</v>
      </c>
      <c r="F161" s="3">
        <v>0</v>
      </c>
      <c r="G161" s="3">
        <v>0</v>
      </c>
    </row>
    <row r="162" spans="1:7" x14ac:dyDescent="0.2">
      <c r="A162" s="3"/>
      <c r="B162" s="3" t="s">
        <v>68</v>
      </c>
      <c r="C162" s="3">
        <v>0</v>
      </c>
      <c r="D162" s="3">
        <v>0</v>
      </c>
      <c r="E162" s="3">
        <v>-1E+30</v>
      </c>
      <c r="F162" s="3">
        <v>0</v>
      </c>
      <c r="G162" s="3">
        <v>0</v>
      </c>
    </row>
    <row r="163" spans="1:7" x14ac:dyDescent="0.2">
      <c r="A163" s="3"/>
      <c r="B163" s="3" t="s">
        <v>77</v>
      </c>
      <c r="C163" s="3">
        <v>0</v>
      </c>
      <c r="D163" s="3">
        <v>0</v>
      </c>
      <c r="E163" s="3">
        <v>-1E+30</v>
      </c>
      <c r="F163" s="3">
        <v>0</v>
      </c>
      <c r="G163" s="3">
        <v>0</v>
      </c>
    </row>
    <row r="164" spans="1:7" x14ac:dyDescent="0.2">
      <c r="A164" s="3"/>
      <c r="B164" s="3" t="s">
        <v>128</v>
      </c>
      <c r="C164" s="3">
        <v>0</v>
      </c>
      <c r="D164" s="3">
        <v>0</v>
      </c>
      <c r="E164" s="3">
        <v>-1E+30</v>
      </c>
      <c r="F164" s="3">
        <v>0</v>
      </c>
      <c r="G164" s="3">
        <v>0</v>
      </c>
    </row>
    <row r="165" spans="1:7" x14ac:dyDescent="0.2">
      <c r="A165" s="3"/>
      <c r="B165" s="3" t="s">
        <v>129</v>
      </c>
      <c r="C165" s="3">
        <v>0</v>
      </c>
      <c r="D165" s="3">
        <v>0</v>
      </c>
      <c r="E165" s="3">
        <v>-1E+30</v>
      </c>
      <c r="F165" s="3">
        <v>0</v>
      </c>
      <c r="G165" s="3">
        <v>0</v>
      </c>
    </row>
    <row r="166" spans="1:7" x14ac:dyDescent="0.2">
      <c r="A166" s="5"/>
      <c r="B166" s="5" t="s">
        <v>130</v>
      </c>
      <c r="C166" s="5">
        <v>0</v>
      </c>
      <c r="D166" s="5">
        <v>0</v>
      </c>
      <c r="E166" s="5">
        <v>-1E+30</v>
      </c>
      <c r="F166" s="5">
        <v>0</v>
      </c>
      <c r="G166" s="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B0D0E-653A-4C4C-A9FA-DDA7DEC1A7A0}">
  <dimension ref="A1:Q26"/>
  <sheetViews>
    <sheetView zoomScaleNormal="150" zoomScaleSheetLayoutView="100" workbookViewId="0">
      <selection activeCell="G29" sqref="G29"/>
    </sheetView>
  </sheetViews>
  <sheetFormatPr defaultRowHeight="15" x14ac:dyDescent="0.2"/>
  <cols>
    <col min="1" max="1" width="6.72265625" bestFit="1" customWidth="1"/>
    <col min="2" max="2" width="10.0859375" customWidth="1"/>
    <col min="3" max="3" width="6.859375" bestFit="1" customWidth="1"/>
    <col min="4" max="4" width="7.93359375" bestFit="1" customWidth="1"/>
    <col min="5" max="5" width="8.875" bestFit="1" customWidth="1"/>
    <col min="6" max="6" width="8.7421875" bestFit="1" customWidth="1"/>
    <col min="7" max="7" width="7.3984375" bestFit="1" customWidth="1"/>
    <col min="8" max="8" width="6.45703125" bestFit="1" customWidth="1"/>
    <col min="9" max="9" width="6.859375" bestFit="1" customWidth="1"/>
    <col min="10" max="10" width="6.72265625" bestFit="1" customWidth="1"/>
    <col min="11" max="11" width="7.26171875" bestFit="1" customWidth="1"/>
    <col min="12" max="12" width="7.12890625" bestFit="1" customWidth="1"/>
    <col min="13" max="13" width="7.80078125" bestFit="1" customWidth="1"/>
    <col min="14" max="14" width="6.45703125" bestFit="1" customWidth="1"/>
    <col min="15" max="15" width="3.09375" customWidth="1"/>
    <col min="16" max="16" width="8.33984375" customWidth="1"/>
    <col min="17" max="17" width="8.875" customWidth="1"/>
    <col min="18" max="21" width="9.14453125" bestFit="1" customWidth="1"/>
    <col min="22" max="22" width="8.7421875" bestFit="1" customWidth="1"/>
    <col min="23" max="23" width="8.609375" bestFit="1" customWidth="1"/>
    <col min="27" max="27" width="9.01171875" bestFit="1" customWidth="1"/>
  </cols>
  <sheetData>
    <row r="1" spans="1:17" ht="15.75" thickBot="1" x14ac:dyDescent="0.25">
      <c r="A1" s="53" t="s">
        <v>188</v>
      </c>
      <c r="B1" s="54"/>
      <c r="C1" s="24">
        <v>45778</v>
      </c>
      <c r="D1" s="24">
        <v>45809</v>
      </c>
      <c r="E1" s="24">
        <v>45839</v>
      </c>
      <c r="F1" s="35">
        <v>45870</v>
      </c>
      <c r="G1" s="24">
        <v>45901</v>
      </c>
      <c r="H1" s="24">
        <v>45931</v>
      </c>
      <c r="I1" s="24">
        <v>45962</v>
      </c>
      <c r="J1" s="24">
        <v>45992</v>
      </c>
      <c r="K1" s="24">
        <v>46023</v>
      </c>
      <c r="L1" s="24">
        <v>46054</v>
      </c>
      <c r="M1" s="24">
        <v>46082</v>
      </c>
      <c r="N1" s="25">
        <v>46113</v>
      </c>
      <c r="O1" s="9"/>
      <c r="P1" s="49" t="s">
        <v>96</v>
      </c>
      <c r="Q1" s="50"/>
    </row>
    <row r="2" spans="1:17" ht="15" customHeight="1" x14ac:dyDescent="0.2">
      <c r="A2" s="15" t="s">
        <v>97</v>
      </c>
      <c r="B2" s="26"/>
      <c r="C2" s="11">
        <v>2306</v>
      </c>
      <c r="D2" s="13">
        <v>1630</v>
      </c>
      <c r="E2" s="13">
        <v>1058</v>
      </c>
      <c r="F2" s="11">
        <v>1041</v>
      </c>
      <c r="G2" s="13">
        <v>1299</v>
      </c>
      <c r="H2" s="13">
        <v>654</v>
      </c>
      <c r="I2" s="13">
        <v>1709</v>
      </c>
      <c r="J2" s="11">
        <v>1955</v>
      </c>
      <c r="K2" s="13">
        <v>2389</v>
      </c>
      <c r="L2" s="13">
        <v>3317</v>
      </c>
      <c r="M2" s="13">
        <v>3619</v>
      </c>
      <c r="N2" s="29">
        <v>3195</v>
      </c>
      <c r="O2" s="9"/>
      <c r="P2" s="20" t="s">
        <v>106</v>
      </c>
      <c r="Q2" s="21">
        <v>1</v>
      </c>
    </row>
    <row r="3" spans="1:17" ht="15.75" thickBot="1" x14ac:dyDescent="0.25">
      <c r="A3" s="39" t="s">
        <v>98</v>
      </c>
      <c r="B3" s="40"/>
      <c r="C3" s="44">
        <v>1670</v>
      </c>
      <c r="D3" s="45">
        <v>805</v>
      </c>
      <c r="E3" s="45">
        <v>702</v>
      </c>
      <c r="F3" s="44">
        <v>768</v>
      </c>
      <c r="G3" s="45">
        <v>1577</v>
      </c>
      <c r="H3" s="45">
        <v>1408</v>
      </c>
      <c r="I3" s="45">
        <v>1830</v>
      </c>
      <c r="J3" s="44">
        <v>2488</v>
      </c>
      <c r="K3" s="45">
        <v>3025</v>
      </c>
      <c r="L3" s="45">
        <v>3368</v>
      </c>
      <c r="M3" s="45">
        <v>2554</v>
      </c>
      <c r="N3" s="46">
        <v>2646</v>
      </c>
      <c r="O3" s="9"/>
      <c r="P3" s="16" t="s">
        <v>107</v>
      </c>
      <c r="Q3" s="18">
        <v>1.5</v>
      </c>
    </row>
    <row r="4" spans="1:17" ht="16.5" thickTop="1" thickBot="1" x14ac:dyDescent="0.25">
      <c r="A4" s="51" t="s">
        <v>187</v>
      </c>
      <c r="B4" s="52"/>
      <c r="C4" s="34">
        <v>45778</v>
      </c>
      <c r="D4" s="35">
        <v>45809</v>
      </c>
      <c r="E4" s="35">
        <v>45839</v>
      </c>
      <c r="F4" s="35">
        <v>45870</v>
      </c>
      <c r="G4" s="35">
        <v>45901</v>
      </c>
      <c r="H4" s="35">
        <v>45931</v>
      </c>
      <c r="I4" s="35">
        <v>45962</v>
      </c>
      <c r="J4" s="35">
        <v>45992</v>
      </c>
      <c r="K4" s="35">
        <v>46023</v>
      </c>
      <c r="L4" s="35">
        <v>46054</v>
      </c>
      <c r="M4" s="35">
        <v>46082</v>
      </c>
      <c r="N4" s="36">
        <v>46113</v>
      </c>
      <c r="O4" s="9"/>
      <c r="P4" s="16" t="s">
        <v>108</v>
      </c>
      <c r="Q4" s="18">
        <v>3</v>
      </c>
    </row>
    <row r="5" spans="1:17" x14ac:dyDescent="0.2">
      <c r="A5" s="28" t="s">
        <v>99</v>
      </c>
      <c r="B5" s="26"/>
      <c r="C5" s="11">
        <v>0</v>
      </c>
      <c r="D5" s="13">
        <v>0</v>
      </c>
      <c r="E5" s="13">
        <v>0</v>
      </c>
      <c r="F5" s="11">
        <v>0</v>
      </c>
      <c r="G5" s="13">
        <v>4213</v>
      </c>
      <c r="H5" s="13">
        <v>4400</v>
      </c>
      <c r="I5" s="13">
        <v>4400</v>
      </c>
      <c r="J5" s="11">
        <v>4400</v>
      </c>
      <c r="K5" s="13">
        <v>4400</v>
      </c>
      <c r="L5" s="13">
        <v>4400</v>
      </c>
      <c r="M5" s="13">
        <v>4400</v>
      </c>
      <c r="N5" s="29">
        <v>4400</v>
      </c>
      <c r="O5" s="9"/>
      <c r="P5" s="16" t="s">
        <v>109</v>
      </c>
      <c r="Q5" s="18">
        <v>3.5</v>
      </c>
    </row>
    <row r="6" spans="1:17" x14ac:dyDescent="0.2">
      <c r="A6" s="27" t="s">
        <v>101</v>
      </c>
      <c r="B6" s="26"/>
      <c r="C6" s="12">
        <v>0</v>
      </c>
      <c r="D6" s="10">
        <v>0</v>
      </c>
      <c r="E6" s="10">
        <v>0</v>
      </c>
      <c r="F6" s="12">
        <v>0</v>
      </c>
      <c r="G6" s="10">
        <v>0</v>
      </c>
      <c r="H6" s="10">
        <v>0</v>
      </c>
      <c r="I6" s="10">
        <v>0</v>
      </c>
      <c r="J6" s="12">
        <v>300</v>
      </c>
      <c r="K6" s="10">
        <v>300</v>
      </c>
      <c r="L6" s="10">
        <v>300</v>
      </c>
      <c r="M6" s="10">
        <v>300</v>
      </c>
      <c r="N6" s="30">
        <v>300</v>
      </c>
      <c r="O6" s="9"/>
      <c r="P6" s="16" t="s">
        <v>110</v>
      </c>
      <c r="Q6" s="18">
        <v>25</v>
      </c>
    </row>
    <row r="7" spans="1:17" x14ac:dyDescent="0.2">
      <c r="A7" s="27" t="s">
        <v>100</v>
      </c>
      <c r="B7" s="26"/>
      <c r="C7" s="12">
        <v>0</v>
      </c>
      <c r="D7" s="10">
        <v>0</v>
      </c>
      <c r="E7" s="10">
        <v>994</v>
      </c>
      <c r="F7" s="12">
        <v>2719</v>
      </c>
      <c r="G7" s="10">
        <v>4100</v>
      </c>
      <c r="H7" s="10">
        <v>4100</v>
      </c>
      <c r="I7" s="10">
        <v>4100</v>
      </c>
      <c r="J7" s="12">
        <v>4100</v>
      </c>
      <c r="K7" s="10">
        <v>4100</v>
      </c>
      <c r="L7" s="10">
        <v>4100</v>
      </c>
      <c r="M7" s="10">
        <v>4100</v>
      </c>
      <c r="N7" s="30">
        <v>4100</v>
      </c>
      <c r="O7" s="9"/>
      <c r="P7" s="16" t="s">
        <v>111</v>
      </c>
      <c r="Q7" s="18">
        <v>10</v>
      </c>
    </row>
    <row r="8" spans="1:17" ht="15.75" thickBot="1" x14ac:dyDescent="0.25">
      <c r="A8" s="27" t="s">
        <v>102</v>
      </c>
      <c r="B8" s="26"/>
      <c r="C8" s="12">
        <v>0</v>
      </c>
      <c r="D8" s="10">
        <v>936</v>
      </c>
      <c r="E8" s="10">
        <v>1058</v>
      </c>
      <c r="F8" s="12">
        <v>1819</v>
      </c>
      <c r="G8" s="10">
        <v>3878</v>
      </c>
      <c r="H8" s="10">
        <v>2992</v>
      </c>
      <c r="I8" s="10">
        <v>2570</v>
      </c>
      <c r="J8" s="12">
        <v>1912</v>
      </c>
      <c r="K8" s="10">
        <v>1375</v>
      </c>
      <c r="L8" s="10">
        <v>1032</v>
      </c>
      <c r="M8" s="10">
        <v>1846</v>
      </c>
      <c r="N8" s="30">
        <v>1754</v>
      </c>
      <c r="O8" s="9"/>
      <c r="P8" s="17" t="s">
        <v>112</v>
      </c>
      <c r="Q8" s="19">
        <v>5</v>
      </c>
    </row>
    <row r="9" spans="1:17" ht="15.75" thickBot="1" x14ac:dyDescent="0.25">
      <c r="A9" s="39" t="s">
        <v>103</v>
      </c>
      <c r="B9" s="40"/>
      <c r="C9" s="41">
        <v>0</v>
      </c>
      <c r="D9" s="42">
        <v>0</v>
      </c>
      <c r="E9" s="42">
        <v>0</v>
      </c>
      <c r="F9" s="41">
        <v>0</v>
      </c>
      <c r="G9" s="42">
        <v>522</v>
      </c>
      <c r="H9" s="42">
        <v>1408</v>
      </c>
      <c r="I9" s="42">
        <v>1830</v>
      </c>
      <c r="J9" s="41">
        <v>2488</v>
      </c>
      <c r="K9" s="42">
        <v>3025</v>
      </c>
      <c r="L9" s="42">
        <v>3368</v>
      </c>
      <c r="M9" s="42">
        <v>2554</v>
      </c>
      <c r="N9" s="43">
        <v>2646</v>
      </c>
      <c r="O9" s="9"/>
      <c r="P9" s="8"/>
      <c r="Q9" s="8"/>
    </row>
    <row r="10" spans="1:17" ht="16.5" thickTop="1" thickBot="1" x14ac:dyDescent="0.25">
      <c r="A10" s="37" t="s">
        <v>94</v>
      </c>
      <c r="B10" s="38" t="s">
        <v>193</v>
      </c>
      <c r="C10" s="35">
        <v>45778</v>
      </c>
      <c r="D10" s="35">
        <v>45809</v>
      </c>
      <c r="E10" s="35">
        <v>45839</v>
      </c>
      <c r="F10" s="35">
        <v>45870</v>
      </c>
      <c r="G10" s="35">
        <v>45901</v>
      </c>
      <c r="H10" s="35">
        <v>45931</v>
      </c>
      <c r="I10" s="35">
        <v>45962</v>
      </c>
      <c r="J10" s="35">
        <v>45992</v>
      </c>
      <c r="K10" s="35">
        <v>46023</v>
      </c>
      <c r="L10" s="35">
        <v>46054</v>
      </c>
      <c r="M10" s="35">
        <v>46082</v>
      </c>
      <c r="N10" s="36">
        <v>46113</v>
      </c>
      <c r="O10" s="9"/>
      <c r="P10" s="22" t="s">
        <v>113</v>
      </c>
      <c r="Q10" s="33">
        <v>4100</v>
      </c>
    </row>
    <row r="11" spans="1:17" ht="15.75" thickBot="1" x14ac:dyDescent="0.25">
      <c r="A11" s="28" t="s">
        <v>192</v>
      </c>
      <c r="B11" s="11">
        <v>4000</v>
      </c>
      <c r="C11" s="13">
        <f>B11+C5-(C8+C9)</f>
        <v>4000</v>
      </c>
      <c r="D11" s="13">
        <f t="shared" ref="D11:N11" si="0">C11+D5-(D8+D9)</f>
        <v>3064</v>
      </c>
      <c r="E11" s="13">
        <f t="shared" si="0"/>
        <v>2006</v>
      </c>
      <c r="F11" s="13">
        <f t="shared" si="0"/>
        <v>187</v>
      </c>
      <c r="G11" s="13">
        <f t="shared" si="0"/>
        <v>0</v>
      </c>
      <c r="H11" s="13">
        <f t="shared" si="0"/>
        <v>0</v>
      </c>
      <c r="I11" s="13">
        <f t="shared" si="0"/>
        <v>0</v>
      </c>
      <c r="J11" s="13">
        <f t="shared" si="0"/>
        <v>0</v>
      </c>
      <c r="K11" s="13">
        <f t="shared" si="0"/>
        <v>0</v>
      </c>
      <c r="L11" s="13">
        <f t="shared" si="0"/>
        <v>0</v>
      </c>
      <c r="M11" s="13">
        <f t="shared" si="0"/>
        <v>0</v>
      </c>
      <c r="N11" s="14">
        <f t="shared" si="0"/>
        <v>0</v>
      </c>
      <c r="O11" s="9"/>
      <c r="P11" s="8"/>
      <c r="Q11" s="8"/>
    </row>
    <row r="12" spans="1:17" ht="15.75" thickBot="1" x14ac:dyDescent="0.25">
      <c r="A12" s="27" t="s">
        <v>190</v>
      </c>
      <c r="B12" s="11">
        <v>1000</v>
      </c>
      <c r="C12" s="13">
        <f>B12+C6+C7-(C8+C9)</f>
        <v>1000</v>
      </c>
      <c r="D12" s="13">
        <f t="shared" ref="D12:N12" si="1">C12+D6+D7-(D8+D9)</f>
        <v>64</v>
      </c>
      <c r="E12" s="13">
        <f t="shared" si="1"/>
        <v>0</v>
      </c>
      <c r="F12" s="13">
        <f t="shared" si="1"/>
        <v>900</v>
      </c>
      <c r="G12" s="13">
        <f t="shared" si="1"/>
        <v>600</v>
      </c>
      <c r="H12" s="13">
        <f t="shared" si="1"/>
        <v>300</v>
      </c>
      <c r="I12" s="13">
        <f t="shared" si="1"/>
        <v>0</v>
      </c>
      <c r="J12" s="13">
        <f t="shared" si="1"/>
        <v>0</v>
      </c>
      <c r="K12" s="13">
        <f t="shared" si="1"/>
        <v>0</v>
      </c>
      <c r="L12" s="13">
        <f t="shared" si="1"/>
        <v>0</v>
      </c>
      <c r="M12" s="13">
        <f t="shared" si="1"/>
        <v>0</v>
      </c>
      <c r="N12" s="14">
        <f t="shared" si="1"/>
        <v>0</v>
      </c>
      <c r="O12" s="9"/>
      <c r="P12" s="22" t="s">
        <v>114</v>
      </c>
      <c r="Q12" s="33" cm="1">
        <f t="array" ref="Q12">SUM(C11:N11*Q2,C12:N12*Q3,C13:N13*Q4,C14:N14*Q5,Q10*Q6,C6:N6*Q7,C7:N7*Q8)</f>
        <v>445424.5</v>
      </c>
    </row>
    <row r="13" spans="1:17" x14ac:dyDescent="0.2">
      <c r="A13" s="27" t="s">
        <v>189</v>
      </c>
      <c r="B13" s="11">
        <v>3000</v>
      </c>
      <c r="C13" s="13">
        <f>B13+C8-C2</f>
        <v>694</v>
      </c>
      <c r="D13" s="13">
        <f t="shared" ref="D13:N13" si="2">C13+D8-D2</f>
        <v>0</v>
      </c>
      <c r="E13" s="13">
        <f t="shared" si="2"/>
        <v>0</v>
      </c>
      <c r="F13" s="13">
        <f t="shared" si="2"/>
        <v>778</v>
      </c>
      <c r="G13" s="13">
        <f t="shared" si="2"/>
        <v>3357</v>
      </c>
      <c r="H13" s="13">
        <f t="shared" si="2"/>
        <v>5695</v>
      </c>
      <c r="I13" s="13">
        <f t="shared" si="2"/>
        <v>6556</v>
      </c>
      <c r="J13" s="13">
        <f t="shared" si="2"/>
        <v>6513</v>
      </c>
      <c r="K13" s="13">
        <f t="shared" si="2"/>
        <v>5499</v>
      </c>
      <c r="L13" s="13">
        <f t="shared" si="2"/>
        <v>3214</v>
      </c>
      <c r="M13" s="13">
        <f t="shared" si="2"/>
        <v>1441</v>
      </c>
      <c r="N13" s="14">
        <f t="shared" si="2"/>
        <v>0</v>
      </c>
      <c r="O13" s="9"/>
      <c r="P13" s="8"/>
      <c r="Q13" s="8"/>
    </row>
    <row r="14" spans="1:17" ht="15.75" thickBot="1" x14ac:dyDescent="0.25">
      <c r="A14" s="39" t="s">
        <v>191</v>
      </c>
      <c r="B14" s="44">
        <v>5000</v>
      </c>
      <c r="C14" s="45">
        <f>B14+C9-C3</f>
        <v>3330</v>
      </c>
      <c r="D14" s="45">
        <f t="shared" ref="D14:N14" si="3">C14+D9-D3</f>
        <v>2525</v>
      </c>
      <c r="E14" s="45">
        <f t="shared" si="3"/>
        <v>1823</v>
      </c>
      <c r="F14" s="45">
        <f t="shared" si="3"/>
        <v>1055</v>
      </c>
      <c r="G14" s="45">
        <f t="shared" si="3"/>
        <v>0</v>
      </c>
      <c r="H14" s="45">
        <f t="shared" si="3"/>
        <v>0</v>
      </c>
      <c r="I14" s="45">
        <f t="shared" si="3"/>
        <v>0</v>
      </c>
      <c r="J14" s="45">
        <f t="shared" si="3"/>
        <v>0</v>
      </c>
      <c r="K14" s="45">
        <f t="shared" si="3"/>
        <v>0</v>
      </c>
      <c r="L14" s="45">
        <f t="shared" si="3"/>
        <v>0</v>
      </c>
      <c r="M14" s="45">
        <f t="shared" si="3"/>
        <v>0</v>
      </c>
      <c r="N14" s="47">
        <f t="shared" si="3"/>
        <v>0</v>
      </c>
      <c r="O14" s="9"/>
      <c r="P14" s="8"/>
      <c r="Q14" s="8"/>
    </row>
    <row r="15" spans="1:17" ht="16.5" thickTop="1" thickBot="1" x14ac:dyDescent="0.25">
      <c r="A15" s="51" t="s">
        <v>95</v>
      </c>
      <c r="B15" s="52"/>
      <c r="C15" s="34">
        <v>45778</v>
      </c>
      <c r="D15" s="35">
        <v>45809</v>
      </c>
      <c r="E15" s="35">
        <v>45839</v>
      </c>
      <c r="F15" s="35">
        <v>45870</v>
      </c>
      <c r="G15" s="35">
        <v>45901</v>
      </c>
      <c r="H15" s="35">
        <v>45931</v>
      </c>
      <c r="I15" s="35">
        <v>45962</v>
      </c>
      <c r="J15" s="35">
        <v>45992</v>
      </c>
      <c r="K15" s="35">
        <v>46023</v>
      </c>
      <c r="L15" s="35">
        <v>46054</v>
      </c>
      <c r="M15" s="35">
        <v>46082</v>
      </c>
      <c r="N15" s="36">
        <v>46113</v>
      </c>
      <c r="O15" s="9"/>
      <c r="P15" s="8"/>
      <c r="Q15" s="8"/>
    </row>
    <row r="16" spans="1:17" x14ac:dyDescent="0.2">
      <c r="A16" s="28" t="s">
        <v>104</v>
      </c>
      <c r="B16" s="26"/>
      <c r="C16" s="11">
        <f>C5+C7</f>
        <v>0</v>
      </c>
      <c r="D16" s="13">
        <f t="shared" ref="D16:N16" si="4">D5+D7</f>
        <v>0</v>
      </c>
      <c r="E16" s="13">
        <f t="shared" si="4"/>
        <v>994</v>
      </c>
      <c r="F16" s="13">
        <f t="shared" si="4"/>
        <v>2719</v>
      </c>
      <c r="G16" s="13">
        <f t="shared" si="4"/>
        <v>8313</v>
      </c>
      <c r="H16" s="13">
        <f t="shared" si="4"/>
        <v>8500</v>
      </c>
      <c r="I16" s="13">
        <f t="shared" si="4"/>
        <v>8500</v>
      </c>
      <c r="J16" s="13">
        <f t="shared" si="4"/>
        <v>8500</v>
      </c>
      <c r="K16" s="13">
        <f t="shared" si="4"/>
        <v>8500</v>
      </c>
      <c r="L16" s="13">
        <f t="shared" si="4"/>
        <v>8500</v>
      </c>
      <c r="M16" s="13">
        <f t="shared" si="4"/>
        <v>8500</v>
      </c>
      <c r="N16" s="14">
        <f t="shared" si="4"/>
        <v>8500</v>
      </c>
      <c r="O16" s="9"/>
      <c r="P16" s="8"/>
      <c r="Q16" s="8"/>
    </row>
    <row r="17" spans="1:17" ht="15.75" thickBot="1" x14ac:dyDescent="0.25">
      <c r="A17" s="28" t="s">
        <v>105</v>
      </c>
      <c r="B17" s="26"/>
      <c r="C17" s="23">
        <f>C8+C9</f>
        <v>0</v>
      </c>
      <c r="D17" s="31">
        <f t="shared" ref="D17:N17" si="5">D8+D9</f>
        <v>936</v>
      </c>
      <c r="E17" s="31">
        <f t="shared" si="5"/>
        <v>1058</v>
      </c>
      <c r="F17" s="31">
        <f t="shared" si="5"/>
        <v>1819</v>
      </c>
      <c r="G17" s="31">
        <f t="shared" si="5"/>
        <v>4400</v>
      </c>
      <c r="H17" s="31">
        <f t="shared" si="5"/>
        <v>4400</v>
      </c>
      <c r="I17" s="31">
        <f t="shared" si="5"/>
        <v>4400</v>
      </c>
      <c r="J17" s="31">
        <f t="shared" si="5"/>
        <v>4400</v>
      </c>
      <c r="K17" s="31">
        <f t="shared" si="5"/>
        <v>4400</v>
      </c>
      <c r="L17" s="31">
        <f t="shared" si="5"/>
        <v>4400</v>
      </c>
      <c r="M17" s="31">
        <f t="shared" si="5"/>
        <v>4400</v>
      </c>
      <c r="N17" s="32">
        <f t="shared" si="5"/>
        <v>4400</v>
      </c>
      <c r="O17" s="9"/>
      <c r="P17" s="8"/>
      <c r="Q17" s="8"/>
    </row>
    <row r="18" spans="1:17" ht="15.75" customHeight="1" x14ac:dyDescent="0.2">
      <c r="O18" s="1"/>
    </row>
    <row r="19" spans="1:17" x14ac:dyDescent="0.2">
      <c r="O19" s="1"/>
    </row>
    <row r="20" spans="1:17" x14ac:dyDescent="0.2">
      <c r="O20" s="1"/>
    </row>
    <row r="21" spans="1:17" x14ac:dyDescent="0.2">
      <c r="O21" s="1"/>
    </row>
    <row r="22" spans="1:17" x14ac:dyDescent="0.2">
      <c r="O22" s="1"/>
    </row>
    <row r="23" spans="1:17" x14ac:dyDescent="0.2">
      <c r="O23" s="1"/>
    </row>
    <row r="24" spans="1:17" x14ac:dyDescent="0.2">
      <c r="O24" s="1"/>
    </row>
    <row r="25" spans="1:17" x14ac:dyDescent="0.2">
      <c r="O25" s="1"/>
    </row>
    <row r="26" spans="1:17" x14ac:dyDescent="0.2">
      <c r="O26" s="1"/>
    </row>
  </sheetData>
  <mergeCells count="4">
    <mergeCell ref="P1:Q1"/>
    <mergeCell ref="A4:B4"/>
    <mergeCell ref="A1:B1"/>
    <mergeCell ref="A15:B1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651FA-25A3-448C-B9B3-9E28BF8E22DE}">
  <dimension ref="A1:Q17"/>
  <sheetViews>
    <sheetView zoomScaleNormal="150" zoomScaleSheetLayoutView="100" workbookViewId="0">
      <selection activeCell="A27" sqref="A27:N31"/>
    </sheetView>
  </sheetViews>
  <sheetFormatPr defaultRowHeight="15" x14ac:dyDescent="0.2"/>
  <sheetData>
    <row r="1" spans="1:17" ht="15.75" thickBot="1" x14ac:dyDescent="0.25">
      <c r="A1" s="53" t="s">
        <v>188</v>
      </c>
      <c r="B1" s="54"/>
      <c r="C1" s="24">
        <v>45778</v>
      </c>
      <c r="D1" s="24">
        <v>45809</v>
      </c>
      <c r="E1" s="24">
        <v>45839</v>
      </c>
      <c r="F1" s="35">
        <v>45870</v>
      </c>
      <c r="G1" s="24">
        <v>45901</v>
      </c>
      <c r="H1" s="24">
        <v>45931</v>
      </c>
      <c r="I1" s="24">
        <v>45962</v>
      </c>
      <c r="J1" s="24">
        <v>45992</v>
      </c>
      <c r="K1" s="24">
        <v>46023</v>
      </c>
      <c r="L1" s="24">
        <v>46054</v>
      </c>
      <c r="M1" s="24">
        <v>46082</v>
      </c>
      <c r="N1" s="25">
        <v>46113</v>
      </c>
      <c r="O1" s="9"/>
      <c r="P1" s="49" t="s">
        <v>96</v>
      </c>
      <c r="Q1" s="50"/>
    </row>
    <row r="2" spans="1:17" x14ac:dyDescent="0.2">
      <c r="A2" s="15" t="s">
        <v>97</v>
      </c>
      <c r="B2" s="48"/>
      <c r="C2" s="11">
        <v>2767.2</v>
      </c>
      <c r="D2" s="13">
        <v>1956</v>
      </c>
      <c r="E2" s="13">
        <v>1269.5999999999999</v>
      </c>
      <c r="F2" s="13">
        <v>1249.2</v>
      </c>
      <c r="G2" s="13">
        <v>1558.8</v>
      </c>
      <c r="H2" s="13">
        <v>784.8</v>
      </c>
      <c r="I2" s="13">
        <v>2050.8000000000002</v>
      </c>
      <c r="J2" s="13">
        <v>2346</v>
      </c>
      <c r="K2" s="13">
        <v>2866.8</v>
      </c>
      <c r="L2" s="13">
        <v>3980.4</v>
      </c>
      <c r="M2" s="13">
        <v>4342.8</v>
      </c>
      <c r="N2" s="14">
        <v>3834</v>
      </c>
      <c r="O2" s="9"/>
      <c r="P2" s="20" t="s">
        <v>106</v>
      </c>
      <c r="Q2" s="21">
        <v>1</v>
      </c>
    </row>
    <row r="3" spans="1:17" ht="15.75" thickBot="1" x14ac:dyDescent="0.25">
      <c r="A3" s="39" t="s">
        <v>98</v>
      </c>
      <c r="B3" s="40"/>
      <c r="C3" s="23">
        <v>1336</v>
      </c>
      <c r="D3" s="31">
        <v>644</v>
      </c>
      <c r="E3" s="31">
        <v>561.6</v>
      </c>
      <c r="F3" s="31">
        <v>614.4</v>
      </c>
      <c r="G3" s="31">
        <v>1261.5999999999999</v>
      </c>
      <c r="H3" s="31">
        <v>1126</v>
      </c>
      <c r="I3" s="31">
        <v>1464</v>
      </c>
      <c r="J3" s="31">
        <v>1990.4</v>
      </c>
      <c r="K3" s="31">
        <v>2420</v>
      </c>
      <c r="L3" s="31">
        <v>2694.4</v>
      </c>
      <c r="M3" s="31">
        <v>2043.2</v>
      </c>
      <c r="N3" s="32">
        <v>2117</v>
      </c>
      <c r="O3" s="9"/>
      <c r="P3" s="16" t="s">
        <v>107</v>
      </c>
      <c r="Q3" s="18">
        <v>1.5</v>
      </c>
    </row>
    <row r="4" spans="1:17" ht="16.5" thickTop="1" thickBot="1" x14ac:dyDescent="0.25">
      <c r="A4" s="51" t="s">
        <v>187</v>
      </c>
      <c r="B4" s="52"/>
      <c r="C4" s="34">
        <v>45778</v>
      </c>
      <c r="D4" s="35">
        <v>45809</v>
      </c>
      <c r="E4" s="35">
        <v>45839</v>
      </c>
      <c r="F4" s="35">
        <v>45870</v>
      </c>
      <c r="G4" s="35">
        <v>45901</v>
      </c>
      <c r="H4" s="35">
        <v>45931</v>
      </c>
      <c r="I4" s="35">
        <v>45962</v>
      </c>
      <c r="J4" s="35">
        <v>45992</v>
      </c>
      <c r="K4" s="35">
        <v>46023</v>
      </c>
      <c r="L4" s="35">
        <v>46054</v>
      </c>
      <c r="M4" s="35">
        <v>46082</v>
      </c>
      <c r="N4" s="36">
        <v>46113</v>
      </c>
      <c r="O4" s="9"/>
      <c r="P4" s="16" t="s">
        <v>108</v>
      </c>
      <c r="Q4" s="18">
        <v>3</v>
      </c>
    </row>
    <row r="5" spans="1:17" x14ac:dyDescent="0.2">
      <c r="A5" s="28" t="s">
        <v>99</v>
      </c>
      <c r="B5" s="48"/>
      <c r="C5" s="11">
        <v>0</v>
      </c>
      <c r="D5" s="13">
        <v>0</v>
      </c>
      <c r="E5" s="13">
        <v>0</v>
      </c>
      <c r="F5" s="11">
        <v>242</v>
      </c>
      <c r="G5" s="13">
        <v>4237.0000000000027</v>
      </c>
      <c r="H5" s="13">
        <v>4399.9999999999991</v>
      </c>
      <c r="I5" s="13">
        <v>4400.0000000000018</v>
      </c>
      <c r="J5" s="11">
        <v>4400</v>
      </c>
      <c r="K5" s="13">
        <v>4399.9999999999991</v>
      </c>
      <c r="L5" s="13">
        <v>4399.9999999999991</v>
      </c>
      <c r="M5" s="13">
        <v>4399.9999999999991</v>
      </c>
      <c r="N5" s="29">
        <v>4399.9999999999991</v>
      </c>
      <c r="O5" s="9"/>
      <c r="P5" s="16" t="s">
        <v>109</v>
      </c>
      <c r="Q5" s="18">
        <v>3.5</v>
      </c>
    </row>
    <row r="6" spans="1:17" x14ac:dyDescent="0.2">
      <c r="A6" s="27" t="s">
        <v>101</v>
      </c>
      <c r="B6" s="48"/>
      <c r="C6" s="12">
        <v>0</v>
      </c>
      <c r="D6" s="10">
        <v>0</v>
      </c>
      <c r="E6" s="10">
        <v>0</v>
      </c>
      <c r="F6" s="12">
        <v>0</v>
      </c>
      <c r="G6" s="10">
        <v>0</v>
      </c>
      <c r="H6" s="10">
        <v>0</v>
      </c>
      <c r="I6" s="10">
        <v>0</v>
      </c>
      <c r="J6" s="12">
        <v>300</v>
      </c>
      <c r="K6" s="10">
        <v>300</v>
      </c>
      <c r="L6" s="10">
        <v>300</v>
      </c>
      <c r="M6" s="10">
        <v>300.00000000000364</v>
      </c>
      <c r="N6" s="30">
        <v>300</v>
      </c>
      <c r="O6" s="9"/>
      <c r="P6" s="16" t="s">
        <v>110</v>
      </c>
      <c r="Q6" s="18">
        <v>25</v>
      </c>
    </row>
    <row r="7" spans="1:17" x14ac:dyDescent="0.2">
      <c r="A7" s="27" t="s">
        <v>100</v>
      </c>
      <c r="B7" s="48"/>
      <c r="C7" s="12">
        <v>0</v>
      </c>
      <c r="D7" s="10">
        <v>723.19999999999982</v>
      </c>
      <c r="E7" s="10">
        <v>1269.5999999999999</v>
      </c>
      <c r="F7" s="12">
        <v>1986.1999999999989</v>
      </c>
      <c r="G7" s="10">
        <v>4100.0000000000009</v>
      </c>
      <c r="H7" s="10">
        <v>4100.0000000000009</v>
      </c>
      <c r="I7" s="10">
        <v>4100.0000000000009</v>
      </c>
      <c r="J7" s="12">
        <v>4100</v>
      </c>
      <c r="K7" s="10">
        <v>4100.0000000000009</v>
      </c>
      <c r="L7" s="10">
        <v>4100.0000000000009</v>
      </c>
      <c r="M7" s="10">
        <v>4100.0000000000009</v>
      </c>
      <c r="N7" s="30">
        <v>4100.0000000000009</v>
      </c>
      <c r="O7" s="9"/>
      <c r="P7" s="16" t="s">
        <v>111</v>
      </c>
      <c r="Q7" s="18">
        <v>10</v>
      </c>
    </row>
    <row r="8" spans="1:17" ht="15.75" thickBot="1" x14ac:dyDescent="0.25">
      <c r="A8" s="27" t="s">
        <v>102</v>
      </c>
      <c r="B8" s="48"/>
      <c r="C8" s="12">
        <v>0</v>
      </c>
      <c r="D8" s="10">
        <v>1723.1999999999998</v>
      </c>
      <c r="E8" s="10">
        <v>1269.5999999999999</v>
      </c>
      <c r="F8" s="12">
        <v>1249.2000000000003</v>
      </c>
      <c r="G8" s="10">
        <v>4237.0000000000018</v>
      </c>
      <c r="H8" s="10">
        <v>3856.4</v>
      </c>
      <c r="I8" s="10">
        <v>2936</v>
      </c>
      <c r="J8" s="12">
        <v>2409.6</v>
      </c>
      <c r="K8" s="10">
        <v>1980.0000000000005</v>
      </c>
      <c r="L8" s="10">
        <v>1705.6</v>
      </c>
      <c r="M8" s="10">
        <v>2356.7999999999997</v>
      </c>
      <c r="N8" s="30">
        <v>2282.9999999999995</v>
      </c>
      <c r="O8" s="9"/>
      <c r="P8" s="17" t="s">
        <v>112</v>
      </c>
      <c r="Q8" s="19">
        <v>5</v>
      </c>
    </row>
    <row r="9" spans="1:17" ht="15.75" thickBot="1" x14ac:dyDescent="0.25">
      <c r="A9" s="39" t="s">
        <v>103</v>
      </c>
      <c r="B9" s="40"/>
      <c r="C9" s="41">
        <v>0</v>
      </c>
      <c r="D9" s="42">
        <v>0</v>
      </c>
      <c r="E9" s="42">
        <v>0</v>
      </c>
      <c r="F9" s="41">
        <v>0</v>
      </c>
      <c r="G9" s="42">
        <v>0</v>
      </c>
      <c r="H9" s="42">
        <v>543.59999999999991</v>
      </c>
      <c r="I9" s="42">
        <v>1464</v>
      </c>
      <c r="J9" s="41">
        <v>1990.4</v>
      </c>
      <c r="K9" s="42">
        <v>2419.9999999999995</v>
      </c>
      <c r="L9" s="42">
        <v>2694.4</v>
      </c>
      <c r="M9" s="42">
        <v>2043.2000000000003</v>
      </c>
      <c r="N9" s="43">
        <v>2117.0000000000005</v>
      </c>
      <c r="O9" s="9"/>
      <c r="P9" s="8"/>
      <c r="Q9" s="8"/>
    </row>
    <row r="10" spans="1:17" ht="16.5" thickTop="1" thickBot="1" x14ac:dyDescent="0.25">
      <c r="A10" s="37" t="s">
        <v>94</v>
      </c>
      <c r="B10" s="38" t="s">
        <v>193</v>
      </c>
      <c r="C10" s="35">
        <v>45778</v>
      </c>
      <c r="D10" s="35">
        <v>45809</v>
      </c>
      <c r="E10" s="35">
        <v>45839</v>
      </c>
      <c r="F10" s="35">
        <v>45870</v>
      </c>
      <c r="G10" s="35">
        <v>45901</v>
      </c>
      <c r="H10" s="35">
        <v>45931</v>
      </c>
      <c r="I10" s="35">
        <v>45962</v>
      </c>
      <c r="J10" s="35">
        <v>45992</v>
      </c>
      <c r="K10" s="35">
        <v>46023</v>
      </c>
      <c r="L10" s="35">
        <v>46054</v>
      </c>
      <c r="M10" s="35">
        <v>46082</v>
      </c>
      <c r="N10" s="36">
        <v>46113</v>
      </c>
      <c r="O10" s="9"/>
      <c r="P10" s="22" t="s">
        <v>113</v>
      </c>
      <c r="Q10" s="33">
        <v>4100.0000000000009</v>
      </c>
    </row>
    <row r="11" spans="1:17" ht="15.75" thickBot="1" x14ac:dyDescent="0.25">
      <c r="A11" s="28" t="s">
        <v>192</v>
      </c>
      <c r="B11" s="11">
        <v>4000</v>
      </c>
      <c r="C11" s="13">
        <f>B11+C5-(C8+C9)</f>
        <v>4000</v>
      </c>
      <c r="D11" s="13">
        <f>C11+D5-(D8+D9)</f>
        <v>2276.8000000000002</v>
      </c>
      <c r="E11" s="13">
        <f>D11+E5-(E8+E9)</f>
        <v>1007.2000000000003</v>
      </c>
      <c r="F11" s="13">
        <f>E11+F5-(F8+F9)</f>
        <v>0</v>
      </c>
      <c r="G11" s="13">
        <f>F11+G5-(G8+G9)</f>
        <v>0</v>
      </c>
      <c r="H11" s="13">
        <f>G11+H5-(H8+H9)</f>
        <v>0</v>
      </c>
      <c r="I11" s="13">
        <f>H11+I5-(I8+I9)</f>
        <v>0</v>
      </c>
      <c r="J11" s="13">
        <f>I11+J5-(J8+J9)</f>
        <v>0</v>
      </c>
      <c r="K11" s="13">
        <f>J11+K5-(K8+K9)</f>
        <v>0</v>
      </c>
      <c r="L11" s="13">
        <f>K11+L5-(L8+L9)</f>
        <v>0</v>
      </c>
      <c r="M11" s="13">
        <f>L11+M5-(M8+M9)</f>
        <v>0</v>
      </c>
      <c r="N11" s="14">
        <f>M11+N5-(N8+N9)</f>
        <v>0</v>
      </c>
      <c r="O11" s="9"/>
      <c r="P11" s="8"/>
      <c r="Q11" s="8"/>
    </row>
    <row r="12" spans="1:17" ht="15.75" thickBot="1" x14ac:dyDescent="0.25">
      <c r="A12" s="27" t="s">
        <v>190</v>
      </c>
      <c r="B12" s="11">
        <v>1000</v>
      </c>
      <c r="C12" s="13">
        <f>B12+C6+C7-(C8+C9)</f>
        <v>1000</v>
      </c>
      <c r="D12" s="13">
        <f>C12+D6+D7-(D8+D9)</f>
        <v>0</v>
      </c>
      <c r="E12" s="13">
        <f>D12+E6+E7-(E8+E9)</f>
        <v>0</v>
      </c>
      <c r="F12" s="13">
        <f>E12+F6+F7-(F8+F9)</f>
        <v>736.99999999999864</v>
      </c>
      <c r="G12" s="13">
        <f>F12+G6+G7-(G8+G9)</f>
        <v>599.99999999999818</v>
      </c>
      <c r="H12" s="13">
        <f>G12+H6+H7-(H8+H9)</f>
        <v>299.99999999999909</v>
      </c>
      <c r="I12" s="13">
        <f>H12+I6+I7-(I8+I9)</f>
        <v>0</v>
      </c>
      <c r="J12" s="13">
        <f>I12+J6+J7-(J8+J9)</f>
        <v>0</v>
      </c>
      <c r="K12" s="13">
        <f>J12+K6+K7-(K8+K9)</f>
        <v>0</v>
      </c>
      <c r="L12" s="13">
        <f>K12+L6+L7-(L8+L9)</f>
        <v>0</v>
      </c>
      <c r="M12" s="13">
        <f>L12+M6+M7-(M8+M9)</f>
        <v>0</v>
      </c>
      <c r="N12" s="14">
        <f>M12+N6+N7-(N8+N9)</f>
        <v>0</v>
      </c>
      <c r="O12" s="9"/>
      <c r="P12" s="22" t="s">
        <v>114</v>
      </c>
      <c r="Q12" s="33" cm="1">
        <f t="array" ref="Q12">SUM(C11:N11*Q2,C12:N12*Q3,C13:N13*Q4,C14:N14*Q5,Q10*Q6,C6:N6*Q7,C7:N7*Q8)</f>
        <v>451807.90000000008</v>
      </c>
    </row>
    <row r="13" spans="1:17" x14ac:dyDescent="0.2">
      <c r="A13" s="27" t="s">
        <v>189</v>
      </c>
      <c r="B13" s="11">
        <v>3000</v>
      </c>
      <c r="C13" s="13">
        <f>B13+C8-C2</f>
        <v>232.80000000000018</v>
      </c>
      <c r="D13" s="13">
        <f>C13+D8-D2</f>
        <v>0</v>
      </c>
      <c r="E13" s="13">
        <f>D13+E8-E2</f>
        <v>0</v>
      </c>
      <c r="F13" s="13">
        <f>E13+F8-F2</f>
        <v>0</v>
      </c>
      <c r="G13" s="13">
        <f>F13+G8-G2</f>
        <v>2678.2000000000016</v>
      </c>
      <c r="H13" s="13">
        <f>G13+H8-H2</f>
        <v>5749.800000000002</v>
      </c>
      <c r="I13" s="13">
        <f>H13+I8-I2</f>
        <v>6635.0000000000027</v>
      </c>
      <c r="J13" s="13">
        <f>I13+J8-J2</f>
        <v>6698.6000000000022</v>
      </c>
      <c r="K13" s="13">
        <f>J13+K8-K2</f>
        <v>5811.800000000002</v>
      </c>
      <c r="L13" s="13">
        <f>K13+L8-L2</f>
        <v>3537.0000000000014</v>
      </c>
      <c r="M13" s="13">
        <f>L13+M8-M2</f>
        <v>1551.0000000000009</v>
      </c>
      <c r="N13" s="14">
        <f>M13+N8-N2</f>
        <v>0</v>
      </c>
      <c r="O13" s="9"/>
      <c r="P13" s="8"/>
      <c r="Q13" s="8"/>
    </row>
    <row r="14" spans="1:17" ht="15.75" thickBot="1" x14ac:dyDescent="0.25">
      <c r="A14" s="39" t="s">
        <v>191</v>
      </c>
      <c r="B14" s="44">
        <v>5000</v>
      </c>
      <c r="C14" s="45">
        <f>B14+C9-C3</f>
        <v>3664</v>
      </c>
      <c r="D14" s="45">
        <f>C14+D9-D3</f>
        <v>3020</v>
      </c>
      <c r="E14" s="45">
        <f>D14+E9-E3</f>
        <v>2458.4</v>
      </c>
      <c r="F14" s="45">
        <f>E14+F9-F3</f>
        <v>1844</v>
      </c>
      <c r="G14" s="45">
        <f>F14+G9-G3</f>
        <v>582.40000000000009</v>
      </c>
      <c r="H14" s="45">
        <f>G14+H9-H3</f>
        <v>0</v>
      </c>
      <c r="I14" s="45">
        <f>H14+I9-I3</f>
        <v>0</v>
      </c>
      <c r="J14" s="45">
        <f>I14+J9-J3</f>
        <v>0</v>
      </c>
      <c r="K14" s="45">
        <f>J14+K9-K3</f>
        <v>0</v>
      </c>
      <c r="L14" s="45">
        <f>K14+L9-L3</f>
        <v>0</v>
      </c>
      <c r="M14" s="45">
        <f>L14+M9-M3</f>
        <v>0</v>
      </c>
      <c r="N14" s="47">
        <f>M14+N9-N3</f>
        <v>0</v>
      </c>
      <c r="O14" s="9"/>
      <c r="P14" s="8"/>
      <c r="Q14" s="8"/>
    </row>
    <row r="15" spans="1:17" ht="16.5" thickTop="1" thickBot="1" x14ac:dyDescent="0.25">
      <c r="A15" s="51" t="s">
        <v>95</v>
      </c>
      <c r="B15" s="52"/>
      <c r="C15" s="34">
        <v>45778</v>
      </c>
      <c r="D15" s="35">
        <v>45809</v>
      </c>
      <c r="E15" s="35">
        <v>45839</v>
      </c>
      <c r="F15" s="35">
        <v>45870</v>
      </c>
      <c r="G15" s="35">
        <v>45901</v>
      </c>
      <c r="H15" s="35">
        <v>45931</v>
      </c>
      <c r="I15" s="35">
        <v>45962</v>
      </c>
      <c r="J15" s="35">
        <v>45992</v>
      </c>
      <c r="K15" s="35">
        <v>46023</v>
      </c>
      <c r="L15" s="35">
        <v>46054</v>
      </c>
      <c r="M15" s="35">
        <v>46082</v>
      </c>
      <c r="N15" s="36">
        <v>46113</v>
      </c>
      <c r="O15" s="9"/>
      <c r="P15" s="8"/>
      <c r="Q15" s="8"/>
    </row>
    <row r="16" spans="1:17" x14ac:dyDescent="0.2">
      <c r="A16" s="28" t="s">
        <v>104</v>
      </c>
      <c r="B16" s="48"/>
      <c r="C16" s="11">
        <f>C5+C7</f>
        <v>0</v>
      </c>
      <c r="D16" s="13">
        <f>D5+D7</f>
        <v>723.19999999999982</v>
      </c>
      <c r="E16" s="13">
        <f>E5+E7</f>
        <v>1269.5999999999999</v>
      </c>
      <c r="F16" s="13">
        <f>F5+F7</f>
        <v>2228.1999999999989</v>
      </c>
      <c r="G16" s="13">
        <f>G5+G7</f>
        <v>8337.0000000000036</v>
      </c>
      <c r="H16" s="13">
        <f>H5+H7</f>
        <v>8500</v>
      </c>
      <c r="I16" s="13">
        <f>I5+I7</f>
        <v>8500.0000000000036</v>
      </c>
      <c r="J16" s="13">
        <f>J5+J7</f>
        <v>8500</v>
      </c>
      <c r="K16" s="13">
        <f>K5+K7</f>
        <v>8500</v>
      </c>
      <c r="L16" s="13">
        <f>L5+L7</f>
        <v>8500</v>
      </c>
      <c r="M16" s="13">
        <f>M5+M7</f>
        <v>8500</v>
      </c>
      <c r="N16" s="14">
        <f>N5+N7</f>
        <v>8500</v>
      </c>
      <c r="O16" s="9"/>
      <c r="P16" s="8"/>
      <c r="Q16" s="8"/>
    </row>
    <row r="17" spans="1:17" ht="15.75" thickBot="1" x14ac:dyDescent="0.25">
      <c r="A17" s="28" t="s">
        <v>105</v>
      </c>
      <c r="B17" s="48"/>
      <c r="C17" s="23">
        <f>C8+C9</f>
        <v>0</v>
      </c>
      <c r="D17" s="31">
        <f>D8+D9</f>
        <v>1723.1999999999998</v>
      </c>
      <c r="E17" s="31">
        <f>E8+E9</f>
        <v>1269.5999999999999</v>
      </c>
      <c r="F17" s="31">
        <f>F8+F9</f>
        <v>1249.2000000000003</v>
      </c>
      <c r="G17" s="31">
        <f>G8+G9</f>
        <v>4237.0000000000018</v>
      </c>
      <c r="H17" s="31">
        <f>H8+H9</f>
        <v>4400</v>
      </c>
      <c r="I17" s="31">
        <f>I8+I9</f>
        <v>4400</v>
      </c>
      <c r="J17" s="31">
        <f>J8+J9</f>
        <v>4400</v>
      </c>
      <c r="K17" s="31">
        <f>K8+K9</f>
        <v>4400</v>
      </c>
      <c r="L17" s="31">
        <f>L8+L9</f>
        <v>4400</v>
      </c>
      <c r="M17" s="31">
        <f>M8+M9</f>
        <v>4400</v>
      </c>
      <c r="N17" s="32">
        <f>N8+N9</f>
        <v>4400</v>
      </c>
      <c r="O17" s="9"/>
      <c r="P17" s="8"/>
      <c r="Q17" s="8"/>
    </row>
  </sheetData>
  <mergeCells count="4">
    <mergeCell ref="A1:B1"/>
    <mergeCell ref="P1:Q1"/>
    <mergeCell ref="A4:B4"/>
    <mergeCell ref="A15:B1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183B7-94AC-4BB7-A970-4601451E2800}">
  <dimension ref="A1:Q17"/>
  <sheetViews>
    <sheetView zoomScaleNormal="150" zoomScaleSheetLayoutView="100" workbookViewId="0">
      <selection activeCell="S30" sqref="S30"/>
    </sheetView>
  </sheetViews>
  <sheetFormatPr defaultRowHeight="15" x14ac:dyDescent="0.2"/>
  <cols>
    <col min="2" max="2" width="10.0859375" customWidth="1"/>
    <col min="3" max="3" width="9.28125" customWidth="1"/>
  </cols>
  <sheetData>
    <row r="1" spans="1:17" ht="15.75" thickBot="1" x14ac:dyDescent="0.25">
      <c r="A1" s="53" t="s">
        <v>188</v>
      </c>
      <c r="B1" s="54"/>
      <c r="C1" s="24">
        <v>45778</v>
      </c>
      <c r="D1" s="24">
        <v>45809</v>
      </c>
      <c r="E1" s="24">
        <v>45839</v>
      </c>
      <c r="F1" s="35">
        <v>45870</v>
      </c>
      <c r="G1" s="24">
        <v>45901</v>
      </c>
      <c r="H1" s="24">
        <v>45931</v>
      </c>
      <c r="I1" s="24">
        <v>45962</v>
      </c>
      <c r="J1" s="24">
        <v>45992</v>
      </c>
      <c r="K1" s="24">
        <v>46023</v>
      </c>
      <c r="L1" s="24">
        <v>46054</v>
      </c>
      <c r="M1" s="24">
        <v>46082</v>
      </c>
      <c r="N1" s="25">
        <v>46113</v>
      </c>
      <c r="O1" s="9"/>
      <c r="P1" s="49" t="s">
        <v>96</v>
      </c>
      <c r="Q1" s="50"/>
    </row>
    <row r="2" spans="1:17" x14ac:dyDescent="0.2">
      <c r="A2" s="15" t="s">
        <v>97</v>
      </c>
      <c r="B2" s="48"/>
      <c r="C2" s="11">
        <v>1844.8</v>
      </c>
      <c r="D2" s="13">
        <v>1304</v>
      </c>
      <c r="E2" s="13">
        <v>846.4</v>
      </c>
      <c r="F2" s="13">
        <v>832.8</v>
      </c>
      <c r="G2" s="13">
        <v>1039.2</v>
      </c>
      <c r="H2" s="13">
        <v>523.20000000000005</v>
      </c>
      <c r="I2" s="13">
        <v>1367.2</v>
      </c>
      <c r="J2" s="13">
        <v>1564</v>
      </c>
      <c r="K2" s="13">
        <v>1911.2</v>
      </c>
      <c r="L2" s="13">
        <v>2653.6</v>
      </c>
      <c r="M2" s="13">
        <v>2895.2</v>
      </c>
      <c r="N2" s="14">
        <v>2556</v>
      </c>
      <c r="O2" s="9"/>
      <c r="P2" s="20" t="s">
        <v>106</v>
      </c>
      <c r="Q2" s="21">
        <v>1</v>
      </c>
    </row>
    <row r="3" spans="1:17" ht="15.75" thickBot="1" x14ac:dyDescent="0.25">
      <c r="A3" s="39" t="s">
        <v>98</v>
      </c>
      <c r="B3" s="40"/>
      <c r="C3" s="23">
        <v>1336</v>
      </c>
      <c r="D3" s="31">
        <v>644</v>
      </c>
      <c r="E3" s="31">
        <v>561.6</v>
      </c>
      <c r="F3" s="31">
        <v>614.4</v>
      </c>
      <c r="G3" s="31">
        <v>1261.5999999999999</v>
      </c>
      <c r="H3" s="31">
        <v>1126</v>
      </c>
      <c r="I3" s="31">
        <v>1464</v>
      </c>
      <c r="J3" s="31">
        <v>1990.4</v>
      </c>
      <c r="K3" s="31">
        <v>2420</v>
      </c>
      <c r="L3" s="31">
        <v>2694.4</v>
      </c>
      <c r="M3" s="31">
        <v>2043.2</v>
      </c>
      <c r="N3" s="32">
        <v>2117</v>
      </c>
      <c r="O3" s="9"/>
      <c r="P3" s="16" t="s">
        <v>107</v>
      </c>
      <c r="Q3" s="18">
        <v>1.5</v>
      </c>
    </row>
    <row r="4" spans="1:17" ht="16.5" thickTop="1" thickBot="1" x14ac:dyDescent="0.25">
      <c r="A4" s="51" t="s">
        <v>187</v>
      </c>
      <c r="B4" s="52"/>
      <c r="C4" s="35">
        <v>45778</v>
      </c>
      <c r="D4" s="35">
        <v>45809</v>
      </c>
      <c r="E4" s="35">
        <v>45839</v>
      </c>
      <c r="F4" s="35">
        <v>45870</v>
      </c>
      <c r="G4" s="35">
        <v>45901</v>
      </c>
      <c r="H4" s="35">
        <v>45931</v>
      </c>
      <c r="I4" s="35">
        <v>45962</v>
      </c>
      <c r="J4" s="35">
        <v>45992</v>
      </c>
      <c r="K4" s="35">
        <v>46023</v>
      </c>
      <c r="L4" s="35">
        <v>46054</v>
      </c>
      <c r="M4" s="35">
        <v>46082</v>
      </c>
      <c r="N4" s="36">
        <v>46113</v>
      </c>
      <c r="O4" s="9"/>
      <c r="P4" s="16" t="s">
        <v>108</v>
      </c>
      <c r="Q4" s="18">
        <v>3</v>
      </c>
    </row>
    <row r="5" spans="1:17" x14ac:dyDescent="0.2">
      <c r="A5" s="28" t="s">
        <v>99</v>
      </c>
      <c r="B5" s="48"/>
      <c r="C5" s="11">
        <v>0</v>
      </c>
      <c r="D5" s="13">
        <v>0</v>
      </c>
      <c r="E5" s="13">
        <v>0</v>
      </c>
      <c r="F5" s="11">
        <v>0</v>
      </c>
      <c r="G5" s="13">
        <v>0</v>
      </c>
      <c r="H5" s="13">
        <v>0</v>
      </c>
      <c r="I5" s="13">
        <v>3610.1999999999985</v>
      </c>
      <c r="J5" s="11">
        <v>4400</v>
      </c>
      <c r="K5" s="13">
        <v>4400</v>
      </c>
      <c r="L5" s="13">
        <v>4399.9999999999982</v>
      </c>
      <c r="M5" s="13">
        <v>4400.0000000000055</v>
      </c>
      <c r="N5" s="29">
        <v>4400.0000000000036</v>
      </c>
      <c r="O5" s="9"/>
      <c r="P5" s="16" t="s">
        <v>109</v>
      </c>
      <c r="Q5" s="18">
        <v>3.5</v>
      </c>
    </row>
    <row r="6" spans="1:17" x14ac:dyDescent="0.2">
      <c r="A6" s="27" t="s">
        <v>101</v>
      </c>
      <c r="B6" s="48"/>
      <c r="C6" s="12">
        <v>0</v>
      </c>
      <c r="D6" s="10">
        <v>0</v>
      </c>
      <c r="E6" s="10">
        <v>0</v>
      </c>
      <c r="F6" s="12">
        <v>0</v>
      </c>
      <c r="G6" s="10">
        <v>0</v>
      </c>
      <c r="H6" s="10">
        <v>0</v>
      </c>
      <c r="I6" s="10">
        <v>0</v>
      </c>
      <c r="J6" s="12">
        <v>0</v>
      </c>
      <c r="K6" s="10">
        <v>0</v>
      </c>
      <c r="L6" s="10">
        <v>1014.250000000005</v>
      </c>
      <c r="M6" s="10">
        <v>1014.250000000005</v>
      </c>
      <c r="N6" s="30">
        <v>1014.2499999999995</v>
      </c>
      <c r="O6" s="9"/>
      <c r="P6" s="16" t="s">
        <v>110</v>
      </c>
      <c r="Q6" s="18">
        <v>25</v>
      </c>
    </row>
    <row r="7" spans="1:17" x14ac:dyDescent="0.2">
      <c r="A7" s="27" t="s">
        <v>100</v>
      </c>
      <c r="B7" s="48"/>
      <c r="C7" s="12">
        <v>0</v>
      </c>
      <c r="D7" s="10">
        <v>0</v>
      </c>
      <c r="E7" s="10">
        <v>0</v>
      </c>
      <c r="F7" s="12">
        <v>828</v>
      </c>
      <c r="G7" s="10">
        <v>1039.1999999999994</v>
      </c>
      <c r="H7" s="10">
        <v>3385.7499999999991</v>
      </c>
      <c r="I7" s="10">
        <v>3385.7499999999986</v>
      </c>
      <c r="J7" s="12">
        <v>3385.7499999999986</v>
      </c>
      <c r="K7" s="10">
        <v>3385.7499999999991</v>
      </c>
      <c r="L7" s="10">
        <v>3385.7499999999986</v>
      </c>
      <c r="M7" s="10">
        <v>3385.7499999999986</v>
      </c>
      <c r="N7" s="30">
        <v>3385.7499999999986</v>
      </c>
      <c r="O7" s="9"/>
      <c r="P7" s="16" t="s">
        <v>111</v>
      </c>
      <c r="Q7" s="18">
        <v>10</v>
      </c>
    </row>
    <row r="8" spans="1:17" ht="15.75" thickBot="1" x14ac:dyDescent="0.25">
      <c r="A8" s="27" t="s">
        <v>102</v>
      </c>
      <c r="B8" s="48"/>
      <c r="C8" s="12">
        <v>0</v>
      </c>
      <c r="D8" s="10">
        <v>148.79999999999995</v>
      </c>
      <c r="E8" s="10">
        <v>846.4</v>
      </c>
      <c r="F8" s="12">
        <v>832.80000000000007</v>
      </c>
      <c r="G8" s="10">
        <v>1039.1999999999994</v>
      </c>
      <c r="H8" s="10">
        <v>523.19999999999982</v>
      </c>
      <c r="I8" s="10">
        <v>2212.1999999999994</v>
      </c>
      <c r="J8" s="12">
        <v>2409.6</v>
      </c>
      <c r="K8" s="10">
        <v>1980.0000000000005</v>
      </c>
      <c r="L8" s="10">
        <v>1705.6</v>
      </c>
      <c r="M8" s="10">
        <v>2356.7999999999997</v>
      </c>
      <c r="N8" s="30">
        <v>2282.9999999999995</v>
      </c>
      <c r="O8" s="9"/>
      <c r="P8" s="17" t="s">
        <v>112</v>
      </c>
      <c r="Q8" s="19">
        <v>5</v>
      </c>
    </row>
    <row r="9" spans="1:17" ht="15.75" thickBot="1" x14ac:dyDescent="0.25">
      <c r="A9" s="39" t="s">
        <v>103</v>
      </c>
      <c r="B9" s="40"/>
      <c r="C9" s="41">
        <v>0</v>
      </c>
      <c r="D9" s="42">
        <v>0</v>
      </c>
      <c r="E9" s="42">
        <v>0</v>
      </c>
      <c r="F9" s="41">
        <v>0</v>
      </c>
      <c r="G9" s="42">
        <v>0</v>
      </c>
      <c r="H9" s="42">
        <v>543.59999999999991</v>
      </c>
      <c r="I9" s="42">
        <v>1464</v>
      </c>
      <c r="J9" s="41">
        <v>1990.4</v>
      </c>
      <c r="K9" s="42">
        <v>2419.9999999999995</v>
      </c>
      <c r="L9" s="42">
        <v>2694.4</v>
      </c>
      <c r="M9" s="42">
        <v>2043.2000000000003</v>
      </c>
      <c r="N9" s="43">
        <v>2117.0000000000005</v>
      </c>
      <c r="O9" s="9"/>
      <c r="P9" s="8"/>
      <c r="Q9" s="8"/>
    </row>
    <row r="10" spans="1:17" ht="15.75" customHeight="1" thickTop="1" thickBot="1" x14ac:dyDescent="0.25">
      <c r="A10" s="37" t="s">
        <v>94</v>
      </c>
      <c r="B10" s="38" t="s">
        <v>193</v>
      </c>
      <c r="C10" s="35">
        <v>45778</v>
      </c>
      <c r="D10" s="35">
        <v>45809</v>
      </c>
      <c r="E10" s="35">
        <v>45839</v>
      </c>
      <c r="F10" s="35">
        <v>45870</v>
      </c>
      <c r="G10" s="35">
        <v>45901</v>
      </c>
      <c r="H10" s="35">
        <v>45931</v>
      </c>
      <c r="I10" s="35">
        <v>45962</v>
      </c>
      <c r="J10" s="35">
        <v>45992</v>
      </c>
      <c r="K10" s="35">
        <v>46023</v>
      </c>
      <c r="L10" s="35">
        <v>46054</v>
      </c>
      <c r="M10" s="35">
        <v>46082</v>
      </c>
      <c r="N10" s="36">
        <v>46113</v>
      </c>
      <c r="O10" s="9"/>
      <c r="P10" s="22" t="s">
        <v>113</v>
      </c>
      <c r="Q10" s="33">
        <v>3385.7499999999986</v>
      </c>
    </row>
    <row r="11" spans="1:17" ht="15.75" thickBot="1" x14ac:dyDescent="0.25">
      <c r="A11" s="28" t="s">
        <v>192</v>
      </c>
      <c r="B11" s="11">
        <v>4000</v>
      </c>
      <c r="C11" s="13">
        <f>B11+C5-(C8+C9)</f>
        <v>4000</v>
      </c>
      <c r="D11" s="13">
        <f>C11+D5-(D8+D9)</f>
        <v>3851.2</v>
      </c>
      <c r="E11" s="13">
        <f>D11+E5-(E8+E9)</f>
        <v>3004.7999999999997</v>
      </c>
      <c r="F11" s="13">
        <f>E11+F5-(F8+F9)</f>
        <v>2171.9999999999995</v>
      </c>
      <c r="G11" s="13">
        <f>F11+G5-(G8+G9)</f>
        <v>1132.8000000000002</v>
      </c>
      <c r="H11" s="13">
        <f>G11+H5-(H8+H9)</f>
        <v>66.000000000000455</v>
      </c>
      <c r="I11" s="13">
        <f>H11+I5-(I8+I9)</f>
        <v>0</v>
      </c>
      <c r="J11" s="13">
        <f>I11+J5-(J8+J9)</f>
        <v>0</v>
      </c>
      <c r="K11" s="13">
        <f>J11+K5-(K8+K9)</f>
        <v>0</v>
      </c>
      <c r="L11" s="13">
        <f>K11+L5-(L8+L9)</f>
        <v>0</v>
      </c>
      <c r="M11" s="13">
        <f>L11+M5-(M8+M9)</f>
        <v>0</v>
      </c>
      <c r="N11" s="14">
        <f>M11+N5-(N8+N9)</f>
        <v>0</v>
      </c>
      <c r="O11" s="9"/>
      <c r="P11" s="8"/>
      <c r="Q11" s="8"/>
    </row>
    <row r="12" spans="1:17" ht="15.75" thickBot="1" x14ac:dyDescent="0.25">
      <c r="A12" s="27" t="s">
        <v>190</v>
      </c>
      <c r="B12" s="11">
        <v>1000</v>
      </c>
      <c r="C12" s="13">
        <f>B12+C6+C7-(C8+C9)</f>
        <v>1000</v>
      </c>
      <c r="D12" s="13">
        <f>C12+D6+D7-(D8+D9)</f>
        <v>851.2</v>
      </c>
      <c r="E12" s="13">
        <f>D12+E6+E7-(E8+E9)</f>
        <v>4.8000000000000682</v>
      </c>
      <c r="F12" s="13">
        <f>E12+F6+F7-(F8+F9)</f>
        <v>0</v>
      </c>
      <c r="G12" s="13">
        <f>F12+G6+G7-(G8+G9)</f>
        <v>0</v>
      </c>
      <c r="H12" s="13">
        <f>G12+H6+H7-(H8+H9)</f>
        <v>2318.9499999999994</v>
      </c>
      <c r="I12" s="13">
        <f>H12+I6+I7-(I8+I9)</f>
        <v>2028.4999999999986</v>
      </c>
      <c r="J12" s="13">
        <f>I12+J6+J7-(J8+J9)</f>
        <v>1014.2499999999973</v>
      </c>
      <c r="K12" s="13">
        <f>J12+K6+K7-(K8+K9)</f>
        <v>0</v>
      </c>
      <c r="L12" s="13">
        <f>K12+L6+L7-(L8+L9)</f>
        <v>0</v>
      </c>
      <c r="M12" s="13">
        <f>L12+M6+M7-(M8+M9)</f>
        <v>0</v>
      </c>
      <c r="N12" s="14">
        <f>M12+N6+N7-(N8+N9)</f>
        <v>0</v>
      </c>
      <c r="O12" s="9"/>
      <c r="P12" s="22" t="s">
        <v>114</v>
      </c>
      <c r="Q12" s="33" cm="1">
        <f t="array" ref="Q12">SUM(C11:N11*Q2,C12:N12*Q3,C13:N13*Q4,C14:N14*Q5,Q10*Q6,C6:N6*Q7,C7:N7*Q8)</f>
        <v>328056.45000000007</v>
      </c>
    </row>
    <row r="13" spans="1:17" x14ac:dyDescent="0.2">
      <c r="A13" s="27" t="s">
        <v>189</v>
      </c>
      <c r="B13" s="11">
        <v>3000</v>
      </c>
      <c r="C13" s="13">
        <f>B13+C8-C2</f>
        <v>1155.2</v>
      </c>
      <c r="D13" s="13">
        <f>C13+D8-D2</f>
        <v>0</v>
      </c>
      <c r="E13" s="13">
        <f>D13+E8-E2</f>
        <v>0</v>
      </c>
      <c r="F13" s="13">
        <f>E13+F8-F2</f>
        <v>0</v>
      </c>
      <c r="G13" s="13">
        <f>F13+G8-G2</f>
        <v>0</v>
      </c>
      <c r="H13" s="13">
        <f>G13+H8-H2</f>
        <v>0</v>
      </c>
      <c r="I13" s="13">
        <f>H13+I8-I2</f>
        <v>844.99999999999932</v>
      </c>
      <c r="J13" s="13">
        <f>I13+J8-J2</f>
        <v>1690.5999999999995</v>
      </c>
      <c r="K13" s="13">
        <f>J13+K8-K2</f>
        <v>1759.3999999999999</v>
      </c>
      <c r="L13" s="13">
        <f>K13+L8-L2</f>
        <v>811.40000000000009</v>
      </c>
      <c r="M13" s="13">
        <f>L13+M8-M2</f>
        <v>273</v>
      </c>
      <c r="N13" s="14">
        <f>M13+N8-N2</f>
        <v>0</v>
      </c>
      <c r="O13" s="9"/>
      <c r="P13" s="8"/>
      <c r="Q13" s="8"/>
    </row>
    <row r="14" spans="1:17" ht="15.75" thickBot="1" x14ac:dyDescent="0.25">
      <c r="A14" s="39" t="s">
        <v>191</v>
      </c>
      <c r="B14" s="44">
        <v>5000</v>
      </c>
      <c r="C14" s="45">
        <f>B14+C9-C3</f>
        <v>3664</v>
      </c>
      <c r="D14" s="45">
        <f>C14+D9-D3</f>
        <v>3020</v>
      </c>
      <c r="E14" s="45">
        <f>D14+E9-E3</f>
        <v>2458.4</v>
      </c>
      <c r="F14" s="45">
        <f>E14+F9-F3</f>
        <v>1844</v>
      </c>
      <c r="G14" s="45">
        <f>F14+G9-G3</f>
        <v>582.40000000000009</v>
      </c>
      <c r="H14" s="45">
        <f>G14+H9-H3</f>
        <v>0</v>
      </c>
      <c r="I14" s="45">
        <f>H14+I9-I3</f>
        <v>0</v>
      </c>
      <c r="J14" s="45">
        <f>I14+J9-J3</f>
        <v>0</v>
      </c>
      <c r="K14" s="45">
        <f>J14+K9-K3</f>
        <v>0</v>
      </c>
      <c r="L14" s="45">
        <f>K14+L9-L3</f>
        <v>0</v>
      </c>
      <c r="M14" s="45">
        <f>L14+M9-M3</f>
        <v>0</v>
      </c>
      <c r="N14" s="47">
        <f>M14+N9-N3</f>
        <v>0</v>
      </c>
      <c r="O14" s="9"/>
      <c r="P14" s="8"/>
      <c r="Q14" s="8"/>
    </row>
    <row r="15" spans="1:17" ht="16.5" thickTop="1" thickBot="1" x14ac:dyDescent="0.25">
      <c r="A15" s="51" t="s">
        <v>95</v>
      </c>
      <c r="B15" s="52"/>
      <c r="C15" s="34">
        <v>45778</v>
      </c>
      <c r="D15" s="35">
        <v>45809</v>
      </c>
      <c r="E15" s="35">
        <v>45839</v>
      </c>
      <c r="F15" s="35">
        <v>45870</v>
      </c>
      <c r="G15" s="35">
        <v>45901</v>
      </c>
      <c r="H15" s="35">
        <v>45931</v>
      </c>
      <c r="I15" s="35">
        <v>45962</v>
      </c>
      <c r="J15" s="35">
        <v>45992</v>
      </c>
      <c r="K15" s="35">
        <v>46023</v>
      </c>
      <c r="L15" s="35">
        <v>46054</v>
      </c>
      <c r="M15" s="35">
        <v>46082</v>
      </c>
      <c r="N15" s="36">
        <v>46113</v>
      </c>
      <c r="O15" s="9"/>
      <c r="P15" s="8"/>
      <c r="Q15" s="8"/>
    </row>
    <row r="16" spans="1:17" x14ac:dyDescent="0.2">
      <c r="A16" s="28" t="s">
        <v>104</v>
      </c>
      <c r="B16" s="48"/>
      <c r="C16" s="11">
        <f>C5+C7</f>
        <v>0</v>
      </c>
      <c r="D16" s="13">
        <f>D5+D7</f>
        <v>0</v>
      </c>
      <c r="E16" s="13">
        <f>E5+E7</f>
        <v>0</v>
      </c>
      <c r="F16" s="13">
        <f>F5+F7</f>
        <v>828</v>
      </c>
      <c r="G16" s="13">
        <f>G5+G7</f>
        <v>1039.1999999999994</v>
      </c>
      <c r="H16" s="13">
        <f>H5+H7</f>
        <v>3385.7499999999991</v>
      </c>
      <c r="I16" s="13">
        <f>I5+I7</f>
        <v>6995.9499999999971</v>
      </c>
      <c r="J16" s="13">
        <f>J5+J7</f>
        <v>7785.7499999999982</v>
      </c>
      <c r="K16" s="13">
        <f>K5+K7</f>
        <v>7785.7499999999991</v>
      </c>
      <c r="L16" s="13">
        <f>L5+L7</f>
        <v>7785.7499999999964</v>
      </c>
      <c r="M16" s="13">
        <f>M5+M7</f>
        <v>7785.7500000000036</v>
      </c>
      <c r="N16" s="14">
        <f>N5+N7</f>
        <v>7785.7500000000018</v>
      </c>
      <c r="O16" s="9"/>
      <c r="P16" s="8"/>
      <c r="Q16" s="8"/>
    </row>
    <row r="17" spans="1:17" ht="15.75" thickBot="1" x14ac:dyDescent="0.25">
      <c r="A17" s="28" t="s">
        <v>105</v>
      </c>
      <c r="B17" s="48"/>
      <c r="C17" s="23">
        <f>C8+C9</f>
        <v>0</v>
      </c>
      <c r="D17" s="31">
        <f>D8+D9</f>
        <v>148.79999999999995</v>
      </c>
      <c r="E17" s="31">
        <f>E8+E9</f>
        <v>846.4</v>
      </c>
      <c r="F17" s="31">
        <f>F8+F9</f>
        <v>832.80000000000007</v>
      </c>
      <c r="G17" s="31">
        <f>G8+G9</f>
        <v>1039.1999999999994</v>
      </c>
      <c r="H17" s="31">
        <f>H8+H9</f>
        <v>1066.7999999999997</v>
      </c>
      <c r="I17" s="31">
        <f>I8+I9</f>
        <v>3676.1999999999994</v>
      </c>
      <c r="J17" s="31">
        <f>J8+J9</f>
        <v>4400</v>
      </c>
      <c r="K17" s="31">
        <f>K8+K9</f>
        <v>4400</v>
      </c>
      <c r="L17" s="31">
        <f>L8+L9</f>
        <v>4400</v>
      </c>
      <c r="M17" s="31">
        <f>M8+M9</f>
        <v>4400</v>
      </c>
      <c r="N17" s="32">
        <f>N8+N9</f>
        <v>4400</v>
      </c>
      <c r="O17" s="9"/>
      <c r="P17" s="8"/>
      <c r="Q17" s="8"/>
    </row>
  </sheetData>
  <mergeCells count="4">
    <mergeCell ref="A1:B1"/>
    <mergeCell ref="P1:Q1"/>
    <mergeCell ref="A4:B4"/>
    <mergeCell ref="A15:B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Sensitivity Report</vt:lpstr>
      <vt:lpstr>Answer Report</vt:lpstr>
      <vt:lpstr>Résolution </vt:lpstr>
      <vt:lpstr>Résolution +20%</vt:lpstr>
      <vt:lpstr>Résolution -20%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Zhien Sun</cp:lastModifiedBy>
  <cp:revision/>
  <dcterms:created xsi:type="dcterms:W3CDTF">2026-04-23T10:36:15Z</dcterms:created>
  <dcterms:modified xsi:type="dcterms:W3CDTF">2026-05-10T22:26:46Z</dcterms:modified>
  <cp:category/>
  <cp:contentStatus/>
</cp:coreProperties>
</file>